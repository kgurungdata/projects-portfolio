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02"/>
  <workbookPr/>
  <mc:AlternateContent xmlns:mc="http://schemas.openxmlformats.org/markup-compatibility/2006">
    <mc:Choice Requires="x15">
      <x15ac:absPath xmlns:x15ac="http://schemas.microsoft.com/office/spreadsheetml/2010/11/ac" url="/Users/kgurung/Downloads/"/>
    </mc:Choice>
  </mc:AlternateContent>
  <xr:revisionPtr revIDLastSave="0" documentId="13_ncr:1_{770FC956-3E5C-4342-8D2C-9CD64D895793}" xr6:coauthVersionLast="47" xr6:coauthVersionMax="47" xr10:uidLastSave="{00000000-0000-0000-0000-000000000000}"/>
  <bookViews>
    <workbookView xWindow="0" yWindow="500" windowWidth="16380" windowHeight="8200" tabRatio="500" xr2:uid="{00000000-000D-0000-FFFF-FFFF00000000}"/>
  </bookViews>
  <sheets>
    <sheet name="Overview" sheetId="1" r:id="rId1"/>
    <sheet name="Issue Resolution Matrix" sheetId="2" r:id="rId2"/>
    <sheet name="Project Issue Log" sheetId="3" r:id="rId3"/>
    <sheet name="Summary" sheetId="4" r:id="rId4"/>
    <sheet name="Project Training Readiness Log" sheetId="5" r:id="rId5"/>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B16" i="4" l="1"/>
  <c r="B14" i="4"/>
  <c r="B15" i="4" s="1"/>
  <c r="B13" i="4"/>
  <c r="C11" i="4"/>
  <c r="B11" i="4"/>
  <c r="C10" i="4"/>
  <c r="B10" i="4"/>
  <c r="C9" i="4"/>
  <c r="B9" i="4"/>
  <c r="C8" i="4"/>
  <c r="B8" i="4"/>
  <c r="C7" i="4"/>
  <c r="B7" i="4"/>
  <c r="C6" i="4"/>
  <c r="B6" i="4"/>
  <c r="C5" i="4"/>
  <c r="B5" i="4"/>
</calcChain>
</file>

<file path=xl/sharedStrings.xml><?xml version="1.0" encoding="utf-8"?>
<sst xmlns="http://schemas.openxmlformats.org/spreadsheetml/2006/main" count="314" uniqueCount="178">
  <si>
    <t>Project Issue Resolution Practice Log</t>
  </si>
  <si>
    <t>Self-directed practice project modeled on the ISE Issue Resolution Specialist role</t>
  </si>
  <si>
    <t>This workbook simulates the core responsibilities of an ISE Issue Resolution Specialist: reviewing issues logged by MET (Merchandising Execution Team) and third-party labor associates during in-store project execution, resolving those issues using an issues matrix and departmental knowledge, training ahead of upcoming projects, and escalating pervasive issues that need departmental support.
It contains three working parts:
1. Issue Resolution Matrix - a reference tool mapping common project-execution issue categories to likely causes, standard resolution steps, and escalation criteria (mirrors the 70% issue-resolution responsibility).
2. Project Issue Log - a simulated log of 20 issues reported across in-store projects, with formulas summarizing volume by category, average resolution time, and escalation rate.
3. Project Training Readiness Log - a simple tracker of training completed ahead of project execution (mirrors the 20% training responsibility).</t>
  </si>
  <si>
    <t>Issue Category</t>
  </si>
  <si>
    <t>Common Symptom</t>
  </si>
  <si>
    <t>Likely Cause</t>
  </si>
  <si>
    <t>Standard Resolution Steps</t>
  </si>
  <si>
    <t>Escalate To</t>
  </si>
  <si>
    <t>Escalation Criteria</t>
  </si>
  <si>
    <t>Missing/Incorrect Materials</t>
  </si>
  <si>
    <t>MET associate reports the wrong product, fixture parts, or hardware kit arrived for the project</t>
  </si>
  <si>
    <t>Warehouse pick error; vendor shipped incorrect SKU; project plan listed wrong item number</t>
  </si>
  <si>
    <t>Verify the item number against the project plan; check if a substitute is on-hand in-store; submit an expedited reorder or cross-ship request; give MET a revised timeline</t>
  </si>
  <si>
    <t>Merchandising/Supply Chain</t>
  </si>
  <si>
    <t>Correct materials cannot be sourced within the project's remaining window, or the substitution changes the approved plan</t>
  </si>
  <si>
    <t>Fixture/Equipment Installation Issue</t>
  </si>
  <si>
    <t>Fixture doesn't fit the space, mounting hardware is incompatible, or equipment is damaged on arrival</t>
  </si>
  <si>
    <t>Store layout differs from the project's planogram; shipping damage; incomplete hardware kit</t>
  </si>
  <si>
    <t>Confirm actual in-store measurements against the plan; check for a damage report; source replacement hardware locally if possible; document the discrepancy for the plan owner</t>
  </si>
  <si>
    <t>Store Design/Facilities</t>
  </si>
  <si>
    <t>Structural modification is needed, or the fixture cannot be installed as designed</t>
  </si>
  <si>
    <t>Planogram/Space Conflict</t>
  </si>
  <si>
    <t>Assigned project space is already occupied by another set, seasonal display, or existing fixture</t>
  </si>
  <si>
    <t>Scheduling conflict between overlapping projects; planogram not updated to reflect current store layout</t>
  </si>
  <si>
    <t>Confirm current space usage with the store team; check the project calendar for conflicting resets; propose an adjusted footprint or timing to the project owner</t>
  </si>
  <si>
    <t>Space Planning</t>
  </si>
  <si>
    <t>Conflict can't be resolved on-site and requires a plan revision</t>
  </si>
  <si>
    <t>Signage/Labeling Error</t>
  </si>
  <si>
    <t>Incorrect pricing, product, or safety signage printed or shipped for the project</t>
  </si>
  <si>
    <t>Template error at print vendor; last-minute product change not reflected in signage order</t>
  </si>
  <si>
    <t>Compare signage against the current product/price file; request a corrected reprint through the signage portal; use a temporary manual sign if the project timeline is tight</t>
  </si>
  <si>
    <t>Pricing/Signage Support</t>
  </si>
  <si>
    <t>Multiple signage errors point to a systemic file issue affecting other stores</t>
  </si>
  <si>
    <t>Scheduling/Store Access Issue</t>
  </si>
  <si>
    <t>MET or third-party crew arrives but the store isn't ready (area not cleared, no manager on-site, conflicting store event)</t>
  </si>
  <si>
    <t>Store wasn't notified of project date; overlapping store initiative; staffing shortage</t>
  </si>
  <si>
    <t>Contact store leadership to confirm readiness; help coordinate a revised access window; document the delay reason for the project record</t>
  </si>
  <si>
    <t>Store Operations</t>
  </si>
  <si>
    <t>Repeated access issues at the same store affect multiple scheduled projects</t>
  </si>
  <si>
    <t>Third-Party/MET Communication Issue</t>
  </si>
  <si>
    <t>Third-party crew is unclear on scope, sequence, or expectations for the project</t>
  </si>
  <si>
    <t>Incomplete project brief; crew unfamiliar with this specific project type; unclear escalation path given to crew on-site</t>
  </si>
  <si>
    <t>Walk the crew through the relevant section of the project instructions; clarify scope directly; log the gap so future project briefs can be improved</t>
  </si>
  <si>
    <t>Project/Training Team</t>
  </si>
  <si>
    <t>The same gap is reported across multiple crews or stores, suggesting the training material itself needs revision</t>
  </si>
  <si>
    <t>Safety/Compliance Concern</t>
  </si>
  <si>
    <t>Crew flags a safety hazard (blocked exit, unstable fixture, electrical issue) during project execution</t>
  </si>
  <si>
    <t>Pre-existing store condition; project work created a temporary hazard</t>
  </si>
  <si>
    <t>Pause work in the affected area immediately; confirm the hazard with store leadership; do not resume until the hazard is cleared or mitigated</t>
  </si>
  <si>
    <t>Safety/Risk Management</t>
  </si>
  <si>
    <t>Any safety concern that cannot be immediately mitigated on-site - always escalate same-day</t>
  </si>
  <si>
    <t>Ticket ID</t>
  </si>
  <si>
    <t>Date</t>
  </si>
  <si>
    <t>Store #</t>
  </si>
  <si>
    <t>Project Name</t>
  </si>
  <si>
    <t>Reported By</t>
  </si>
  <si>
    <t>Issue Description</t>
  </si>
  <si>
    <t>Resolution Deployed</t>
  </si>
  <si>
    <t>Time to Resolve (hrs)</t>
  </si>
  <si>
    <t>Escalated (Y/N)</t>
  </si>
  <si>
    <t>Status</t>
  </si>
  <si>
    <t>PRJ-2001</t>
  </si>
  <si>
    <t>2026-07-06</t>
  </si>
  <si>
    <t>0512</t>
  </si>
  <si>
    <t>Q3 Endcap Reset</t>
  </si>
  <si>
    <t>MET Associate</t>
  </si>
  <si>
    <t>Endcap header sign kit was missing 2 of 6 pieces</t>
  </si>
  <si>
    <t>Confirmed shortage with warehouse; expedited reship requested; used temporary printed sign until kit arrived</t>
  </si>
  <si>
    <t>N</t>
  </si>
  <si>
    <t>Resolved</t>
  </si>
  <si>
    <t>PRJ-2002</t>
  </si>
  <si>
    <t>Third Party</t>
  </si>
  <si>
    <t>New endcap bracket did not match mounting holes on existing fixture</t>
  </si>
  <si>
    <t>Verified against planogram spec sheet; sourced compatible bracket from store's spare fixture stock; installed successfully</t>
  </si>
  <si>
    <t>PRJ-2003</t>
  </si>
  <si>
    <t>2026-07-07</t>
  </si>
  <si>
    <t>0348</t>
  </si>
  <si>
    <t>Seasonal Aisle Reset</t>
  </si>
  <si>
    <t>Assigned aisle space still held a live seasonal display from prior project</t>
  </si>
  <si>
    <t>Confirmed with store team the prior display was overdue for teardown; coordinated same-day removal before reset began</t>
  </si>
  <si>
    <t>PRJ-2004</t>
  </si>
  <si>
    <t>Price signage printed with previous quarter's pricing</t>
  </si>
  <si>
    <t>Cross-checked against current price file, confirmed error; requested corrected reprint; used manual temp sign for same-day compliance</t>
  </si>
  <si>
    <t>PRJ-2005</t>
  </si>
  <si>
    <t>2026-07-08</t>
  </si>
  <si>
    <t>0219</t>
  </si>
  <si>
    <t>Vendor Fixture Install</t>
  </si>
  <si>
    <t>Crew arrived but assigned area was blocked by an in-progress store event</t>
  </si>
  <si>
    <t>Contacted store leadership; negotiated a 2-hour delayed access window; crew resumed on the revised schedule</t>
  </si>
  <si>
    <t>PRJ-2006</t>
  </si>
  <si>
    <t>Crew unclear on sequence for multi-phase fixture install</t>
  </si>
  <si>
    <t>Walked crew through the phased instructions section of the project plan; clarified sequence directly on a call</t>
  </si>
  <si>
    <t>PRJ-2007</t>
  </si>
  <si>
    <t>2026-07-09</t>
  </si>
  <si>
    <t>0781</t>
  </si>
  <si>
    <t>Flooring Project Prep</t>
  </si>
  <si>
    <t>Exposed flooring adhesive created a slip hazard near a customer walkway</t>
  </si>
  <si>
    <t>Paused work in the area immediately; notified store leadership; area cordoned off until hazard mitigated</t>
  </si>
  <si>
    <t>Y</t>
  </si>
  <si>
    <t>Escalated to Safety/Risk Management</t>
  </si>
  <si>
    <t>PRJ-2008</t>
  </si>
  <si>
    <t>Wrong adhesive formula delivered for the flooring type specified</t>
  </si>
  <si>
    <t>Verified against project spec; correct adhesive could not be sourced same-day; flagged and rescheduled remaining phase</t>
  </si>
  <si>
    <t>Escalated to Supply Chain</t>
  </si>
  <si>
    <t>PRJ-2009</t>
  </si>
  <si>
    <t>2026-07-10</t>
  </si>
  <si>
    <t>Backroom Racking Reconfig</t>
  </si>
  <si>
    <t>Racking upright arrived with shipping damage (bent post)</t>
  </si>
  <si>
    <t>Documented damage with photos; pulled a replacement upright from store's overstock racking; completed install</t>
  </si>
  <si>
    <t>PRJ-2010</t>
  </si>
  <si>
    <t>0463</t>
  </si>
  <si>
    <t>New Product Launch Set</t>
  </si>
  <si>
    <t>Launch set overlapped with an active clearance display in the same bay</t>
  </si>
  <si>
    <t>Confirmed clearance display was past its scheduled pull date; coordinated removal with store team before set began</t>
  </si>
  <si>
    <t>PRJ-2011</t>
  </si>
  <si>
    <t>2026-07-11</t>
  </si>
  <si>
    <t>New product barcodes on shelf tags did not scan at POS</t>
  </si>
  <si>
    <t>Identified tag print batch issue; requested corrected tag run from signage portal; used manual price override list in the interim</t>
  </si>
  <si>
    <t>PRJ-2012</t>
  </si>
  <si>
    <t>2026-07-12</t>
  </si>
  <si>
    <t>Store manager unavailable to authorize access on original scheduled date</t>
  </si>
  <si>
    <t>Coordinated directly with assistant manager for access; documented approval; project proceeded without further delay</t>
  </si>
  <si>
    <t>PRJ-2013</t>
  </si>
  <si>
    <t>2026-07-13</t>
  </si>
  <si>
    <t>Crew unfamiliar with store-specific reset variation noted in project addendum</t>
  </si>
  <si>
    <t>Reviewed the addendum with the crew lead before start; confirmed understanding; logged gap for future project brief clarity</t>
  </si>
  <si>
    <t>PRJ-2014</t>
  </si>
  <si>
    <t>Flooring Project Rework</t>
  </si>
  <si>
    <t>Transition strip did not fit new flooring height at doorway</t>
  </si>
  <si>
    <t>Measured discrepancy against spec; sourced correct-height transition strip from vendor's local stock; installed</t>
  </si>
  <si>
    <t>PRJ-2015</t>
  </si>
  <si>
    <t>2026-07-14</t>
  </si>
  <si>
    <t>Promotional header cards for launch were short by 4 units</t>
  </si>
  <si>
    <t>Confirmed shortfall with warehouse; used available cards on highest-traffic bays first; remaining cards expedited for next day</t>
  </si>
  <si>
    <t>PRJ-2016</t>
  </si>
  <si>
    <t>2026-07-15</t>
  </si>
  <si>
    <t>Racking bay found improperly anchored to the wall during reconfig</t>
  </si>
  <si>
    <t>Paused work on that bay immediately; flagged to store leadership; bay re-anchored to spec before continuing</t>
  </si>
  <si>
    <t>PRJ-2017</t>
  </si>
  <si>
    <t>Fixture-mounted safety signage was missing from the shipment</t>
  </si>
  <si>
    <t>Confirmed omission with vendor; requested expedited signage shipment; used temporary printed placeholder</t>
  </si>
  <si>
    <t>PRJ-2018</t>
  </si>
  <si>
    <t>2026-07-16</t>
  </si>
  <si>
    <t>Reset plan called for more linear footage than the aisle actually has</t>
  </si>
  <si>
    <t>Confirmed measurement discrepancy; proposed a condensed layout to the project owner that preserved all required SKUs</t>
  </si>
  <si>
    <t>Escalated to Space Planning</t>
  </si>
  <si>
    <t>PRJ-2019</t>
  </si>
  <si>
    <t>2026-07-17</t>
  </si>
  <si>
    <t>Crew arrived a day early due to a project calendar mix-up</t>
  </si>
  <si>
    <t>Confirmed correct date with project owner; coordinated a same-day walkthrough instead so the crew's trip wasn't wasted; rescheduled the work</t>
  </si>
  <si>
    <t>PRJ-2020</t>
  </si>
  <si>
    <t>2026-07-18</t>
  </si>
  <si>
    <t>Crew flagged unclear expectations on which SKUs were in-scope for this launch phase</t>
  </si>
  <si>
    <t>Clarified in-scope SKU list directly against the project plan; confirmed with crew lead before proceeding</t>
  </si>
  <si>
    <t>Issue Resolution Summary</t>
  </si>
  <si>
    <t>Rolled up from the Project Issue Log (practice data).</t>
  </si>
  <si>
    <t># Issues</t>
  </si>
  <si>
    <t>Avg Time to Resolve (hrs)</t>
  </si>
  <si>
    <t>Total Issues Logged</t>
  </si>
  <si>
    <t>Escalated Issues</t>
  </si>
  <si>
    <t>Escalation Rate</t>
  </si>
  <si>
    <t>Overall Avg Time to Resolve (hrs)</t>
  </si>
  <si>
    <t>Project Start Date</t>
  </si>
  <si>
    <t>Training Completed</t>
  </si>
  <si>
    <t>Key Readiness Notes</t>
  </si>
  <si>
    <t>Readiness Status</t>
  </si>
  <si>
    <t>2026-07-02</t>
  </si>
  <si>
    <t>Reviewed planogram spec sheet and header sign kit contents ahead of MET arrival</t>
  </si>
  <si>
    <t>Ready</t>
  </si>
  <si>
    <t>2026-07-03</t>
  </si>
  <si>
    <t>Confirmed current pricing file and prior seasonal display teardown schedule in advance</t>
  </si>
  <si>
    <t>2026-07-05</t>
  </si>
  <si>
    <t>Reviewed multi-phase install sequence and store access requirements with project owner</t>
  </si>
  <si>
    <t>Reviewed adhesive spec sheet and safety walkway requirements; flagged tight prep window</t>
  </si>
  <si>
    <t>Ready - Time Constrained</t>
  </si>
  <si>
    <t>Reviewed anchoring/safety spec and overstock racking inventory available on-site</t>
  </si>
  <si>
    <t>Reviewed in-scope SKU list and promotional signage order to confirm quantities matched plan</t>
  </si>
  <si>
    <t>Mirrors the 20% training responsibility - reviewing project details and building base knowledge before execution begins, so issues can be resolved faster once the project is live.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</si>
</sst>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8" x14ac:knownFonts="1">
    <font>
      <sz val="11"/>
      <color theme="1"/>
      <name val="Calibri"/>
      <family val="2"/>
      <charset val="1"/>
    </font>
    <font>
      <b/>
      <sz val="11"/>
      <color rgb="FF222222"/>
      <name val="Arial"/>
      <family val="2"/>
    </font>
    <font>
      <b/>
      <sz val="14"/>
      <color rgb="FF222222"/>
      <name val="Arial"/>
      <family val="2"/>
    </font>
    <font>
      <i/>
      <sz val="10"/>
      <color rgb="FF555555"/>
      <name val="Arial"/>
      <family val="2"/>
    </font>
    <font>
      <sz val="10"/>
      <name val="Arial"/>
      <family val="2"/>
    </font>
    <font>
      <b/>
      <sz val="13"/>
      <color rgb="FF222222"/>
      <name val="Arial"/>
      <family val="2"/>
    </font>
    <font>
      <i/>
      <sz val="9"/>
      <color rgb="FF666666"/>
      <name val="Arial"/>
      <family val="2"/>
    </font>
    <font>
      <b/>
      <sz val="10"/>
      <name val="Arial"/>
      <family val="2"/>
    </font>
  </fonts>
  <fills count="3">
    <fill>
      <patternFill patternType="none"/>
    </fill>
    <fill>
      <patternFill patternType="gray125"/>
    </fill>
    <fill>
      <patternFill patternType="solid">
        <fgColor rgb="FFC6DADA"/>
        <bgColor rgb="FFD9D9D9"/>
      </patternFill>
    </fill>
  </fills>
  <borders count="3">
    <border>
      <left/>
      <right/>
      <top/>
      <bottom/>
      <diagonal/>
    </border>
    <border>
      <left/>
      <right/>
      <top/>
      <bottom style="thin">
        <color rgb="FF999999"/>
      </bottom>
      <diagonal/>
    </border>
    <border>
      <left style="thin">
        <color rgb="FFD9D9D9"/>
      </left>
      <right style="thin">
        <color rgb="FFD9D9D9"/>
      </right>
      <top style="thin">
        <color rgb="FFD9D9D9"/>
      </top>
      <bottom style="thin">
        <color rgb="FFD9D9D9"/>
      </bottom>
      <diagonal/>
    </border>
  </borders>
  <cellStyleXfs count="2">
    <xf numFmtId="0" fontId="0" fillId="0" borderId="0"/>
    <xf numFmtId="0" fontId="1" fillId="2" borderId="1">
      <alignment horizontal="center" vertical="center" wrapText="1"/>
    </xf>
  </cellStyleXfs>
  <cellXfs count="14">
    <xf numFmtId="0" fontId="0" fillId="0" borderId="0" xfId="0"/>
    <xf numFmtId="0" fontId="6" fillId="0" borderId="0" xfId="0" applyFont="1"/>
    <xf numFmtId="0" fontId="5" fillId="0" borderId="0" xfId="0" applyFont="1"/>
    <xf numFmtId="0" fontId="4" fillId="0" borderId="0" xfId="0" applyFont="1" applyAlignment="1">
      <alignment vertical="top" wrapText="1"/>
    </xf>
    <xf numFmtId="0" fontId="3" fillId="0" borderId="0" xfId="0" applyFont="1"/>
    <xf numFmtId="0" fontId="2" fillId="0" borderId="0" xfId="0" applyFont="1"/>
    <xf numFmtId="0" fontId="1" fillId="2" borderId="1" xfId="1">
      <alignment horizontal="center" vertical="center" wrapText="1"/>
    </xf>
    <xf numFmtId="0" fontId="4" fillId="0" borderId="2" xfId="0" applyFont="1" applyBorder="1" applyAlignment="1">
      <alignment vertical="top" wrapText="1"/>
    </xf>
    <xf numFmtId="0" fontId="4" fillId="0" borderId="2" xfId="0" applyFont="1" applyBorder="1" applyAlignment="1">
      <alignment vertical="top"/>
    </xf>
    <xf numFmtId="0" fontId="7" fillId="2" borderId="2" xfId="0" applyFont="1" applyFill="1" applyBorder="1"/>
    <xf numFmtId="0" fontId="4" fillId="0" borderId="2" xfId="0" applyFont="1" applyBorder="1"/>
    <xf numFmtId="0" fontId="7" fillId="0" borderId="0" xfId="0" applyFont="1"/>
    <xf numFmtId="0" fontId="4" fillId="0" borderId="0" xfId="0" applyFont="1"/>
    <xf numFmtId="164" fontId="4" fillId="0" borderId="0" xfId="0" applyNumberFormat="1" applyFont="1"/>
  </cellXfs>
  <cellStyles count="2">
    <cellStyle name="Normal" xfId="0" builtinId="0"/>
    <cellStyle name="Report Header" xfId="1" xr:uid="{00000000-0005-0000-0000-000006000000}"/>
  </cellStyles>
  <dxfs count="2">
    <dxf>
      <fill>
        <patternFill>
          <bgColor rgb="FFC6E8C6"/>
        </patternFill>
      </fill>
    </dxf>
    <dxf>
      <fill>
        <patternFill>
          <bgColor rgb="FFFFF3B0"/>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9D9D9"/>
      <rgbColor rgb="FF808080"/>
      <rgbColor rgb="FF9999FF"/>
      <rgbColor rgb="FF993366"/>
      <rgbColor rgb="FFFFFFCC"/>
      <rgbColor rgb="FFCCFFFF"/>
      <rgbColor rgb="FF660066"/>
      <rgbColor rgb="FFFF8080"/>
      <rgbColor rgb="FF0066CC"/>
      <rgbColor rgb="FFC6DADA"/>
      <rgbColor rgb="FF000080"/>
      <rgbColor rgb="FFFF00FF"/>
      <rgbColor rgb="FFFFFF00"/>
      <rgbColor rgb="FF00FFFF"/>
      <rgbColor rgb="FF800080"/>
      <rgbColor rgb="FF800000"/>
      <rgbColor rgb="FF008080"/>
      <rgbColor rgb="FF0000FF"/>
      <rgbColor rgb="FF00CCFF"/>
      <rgbColor rgb="FFCCFFFF"/>
      <rgbColor rgb="FFC6E8C6"/>
      <rgbColor rgb="FFFFF3B0"/>
      <rgbColor rgb="FF99CCFF"/>
      <rgbColor rgb="FFFF99CC"/>
      <rgbColor rgb="FFCC99FF"/>
      <rgbColor rgb="FFFFCC99"/>
      <rgbColor rgb="FF3366FF"/>
      <rgbColor rgb="FF33CCCC"/>
      <rgbColor rgb="FF99CC00"/>
      <rgbColor rgb="FFFFCC00"/>
      <rgbColor rgb="FFFF9900"/>
      <rgbColor rgb="FFFF6600"/>
      <rgbColor rgb="FF666666"/>
      <rgbColor rgb="FF999999"/>
      <rgbColor rgb="FF003366"/>
      <rgbColor rgb="FF339966"/>
      <rgbColor rgb="FF003300"/>
      <rgbColor rgb="FF333300"/>
      <rgbColor rgb="FF993300"/>
      <rgbColor rgb="FF993366"/>
      <rgbColor rgb="FF555555"/>
      <rgbColor rgb="FF222222"/>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ProjectIssueLog" displayName="ProjectIssueLog" ref="A1:K21" totalsRowShown="0">
  <autoFilter ref="A1:K21" xr:uid="{00000000-0009-0000-0100-000001000000}"/>
  <tableColumns count="11">
    <tableColumn id="1" xr3:uid="{00000000-0010-0000-0000-000001000000}" name="Ticket ID"/>
    <tableColumn id="2" xr3:uid="{00000000-0010-0000-0000-000002000000}" name="Date"/>
    <tableColumn id="3" xr3:uid="{00000000-0010-0000-0000-000003000000}" name="Store #"/>
    <tableColumn id="4" xr3:uid="{00000000-0010-0000-0000-000004000000}" name="Project Name"/>
    <tableColumn id="5" xr3:uid="{00000000-0010-0000-0000-000005000000}" name="Issue Category"/>
    <tableColumn id="6" xr3:uid="{00000000-0010-0000-0000-000006000000}" name="Reported By"/>
    <tableColumn id="7" xr3:uid="{00000000-0010-0000-0000-000007000000}" name="Issue Description"/>
    <tableColumn id="8" xr3:uid="{00000000-0010-0000-0000-000008000000}" name="Resolution Deployed"/>
    <tableColumn id="9" xr3:uid="{00000000-0010-0000-0000-000009000000}" name="Time to Resolve (hrs)"/>
    <tableColumn id="10" xr3:uid="{00000000-0010-0000-0000-00000A000000}" name="Escalated (Y/N)"/>
    <tableColumn id="11" xr3:uid="{00000000-0010-0000-0000-00000B000000}" name="Status"/>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6"/>
  <sheetViews>
    <sheetView tabSelected="1" zoomScaleNormal="100" workbookViewId="0">
      <selection activeCell="A4" sqref="A4:F16"/>
    </sheetView>
  </sheetViews>
  <sheetFormatPr baseColWidth="10" defaultColWidth="8.6640625" defaultRowHeight="15" x14ac:dyDescent="0.2"/>
  <cols>
    <col min="1" max="6" width="14" customWidth="1"/>
  </cols>
  <sheetData>
    <row r="1" spans="1:6" ht="18" x14ac:dyDescent="0.2">
      <c r="A1" s="5" t="s">
        <v>0</v>
      </c>
      <c r="B1" s="5"/>
      <c r="C1" s="5"/>
      <c r="D1" s="5"/>
      <c r="E1" s="5"/>
      <c r="F1" s="5"/>
    </row>
    <row r="2" spans="1:6" x14ac:dyDescent="0.2">
      <c r="A2" s="4" t="s">
        <v>1</v>
      </c>
      <c r="B2" s="4"/>
      <c r="C2" s="4"/>
      <c r="D2" s="4"/>
      <c r="E2" s="4"/>
      <c r="F2" s="4"/>
    </row>
    <row r="4" spans="1:6" ht="219.75" customHeight="1" x14ac:dyDescent="0.2">
      <c r="A4" s="3" t="s">
        <v>2</v>
      </c>
      <c r="B4" s="3"/>
      <c r="C4" s="3"/>
      <c r="D4" s="3"/>
      <c r="E4" s="3"/>
      <c r="F4" s="3"/>
    </row>
    <row r="5" spans="1:6" x14ac:dyDescent="0.2">
      <c r="A5" s="3"/>
      <c r="B5" s="3"/>
      <c r="C5" s="3"/>
      <c r="D5" s="3"/>
      <c r="E5" s="3"/>
      <c r="F5" s="3"/>
    </row>
    <row r="6" spans="1:6" x14ac:dyDescent="0.2">
      <c r="A6" s="3"/>
      <c r="B6" s="3"/>
      <c r="C6" s="3"/>
      <c r="D6" s="3"/>
      <c r="E6" s="3"/>
      <c r="F6" s="3"/>
    </row>
    <row r="7" spans="1:6" x14ac:dyDescent="0.2">
      <c r="A7" s="3"/>
      <c r="B7" s="3"/>
      <c r="C7" s="3"/>
      <c r="D7" s="3"/>
      <c r="E7" s="3"/>
      <c r="F7" s="3"/>
    </row>
    <row r="8" spans="1:6" x14ac:dyDescent="0.2">
      <c r="A8" s="3"/>
      <c r="B8" s="3"/>
      <c r="C8" s="3"/>
      <c r="D8" s="3"/>
      <c r="E8" s="3"/>
      <c r="F8" s="3"/>
    </row>
    <row r="9" spans="1:6" x14ac:dyDescent="0.2">
      <c r="A9" s="3"/>
      <c r="B9" s="3"/>
      <c r="C9" s="3"/>
      <c r="D9" s="3"/>
      <c r="E9" s="3"/>
      <c r="F9" s="3"/>
    </row>
    <row r="10" spans="1:6" x14ac:dyDescent="0.2">
      <c r="A10" s="3"/>
      <c r="B10" s="3"/>
      <c r="C10" s="3"/>
      <c r="D10" s="3"/>
      <c r="E10" s="3"/>
      <c r="F10" s="3"/>
    </row>
    <row r="11" spans="1:6" x14ac:dyDescent="0.2">
      <c r="A11" s="3"/>
      <c r="B11" s="3"/>
      <c r="C11" s="3"/>
      <c r="D11" s="3"/>
      <c r="E11" s="3"/>
      <c r="F11" s="3"/>
    </row>
    <row r="12" spans="1:6" x14ac:dyDescent="0.2">
      <c r="A12" s="3"/>
      <c r="B12" s="3"/>
      <c r="C12" s="3"/>
      <c r="D12" s="3"/>
      <c r="E12" s="3"/>
      <c r="F12" s="3"/>
    </row>
    <row r="13" spans="1:6" x14ac:dyDescent="0.2">
      <c r="A13" s="3"/>
      <c r="B13" s="3"/>
      <c r="C13" s="3"/>
      <c r="D13" s="3"/>
      <c r="E13" s="3"/>
      <c r="F13" s="3"/>
    </row>
    <row r="14" spans="1:6" x14ac:dyDescent="0.2">
      <c r="A14" s="3"/>
      <c r="B14" s="3"/>
      <c r="C14" s="3"/>
      <c r="D14" s="3"/>
      <c r="E14" s="3"/>
      <c r="F14" s="3"/>
    </row>
    <row r="15" spans="1:6" x14ac:dyDescent="0.2">
      <c r="A15" s="3"/>
      <c r="B15" s="3"/>
      <c r="C15" s="3"/>
      <c r="D15" s="3"/>
      <c r="E15" s="3"/>
      <c r="F15" s="3"/>
    </row>
    <row r="16" spans="1:6" x14ac:dyDescent="0.2">
      <c r="A16" s="3"/>
      <c r="B16" s="3"/>
      <c r="C16" s="3"/>
      <c r="D16" s="3"/>
      <c r="E16" s="3"/>
      <c r="F16" s="3"/>
    </row>
  </sheetData>
  <mergeCells count="3">
    <mergeCell ref="A1:F1"/>
    <mergeCell ref="A2:F2"/>
    <mergeCell ref="A4:F16"/>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8"/>
  <sheetViews>
    <sheetView zoomScaleNormal="100" workbookViewId="0">
      <pane ySplit="1" topLeftCell="A2" activePane="bottomLeft" state="frozen"/>
      <selection pane="bottomLeft"/>
    </sheetView>
  </sheetViews>
  <sheetFormatPr baseColWidth="10" defaultColWidth="8.6640625" defaultRowHeight="15" x14ac:dyDescent="0.2"/>
  <cols>
    <col min="1" max="1" width="22" customWidth="1"/>
    <col min="2" max="3" width="30" customWidth="1"/>
    <col min="4" max="4" width="42" customWidth="1"/>
    <col min="5" max="5" width="20" customWidth="1"/>
    <col min="6" max="6" width="34" customWidth="1"/>
  </cols>
  <sheetData>
    <row r="1" spans="1:6" ht="25.5" customHeight="1" x14ac:dyDescent="0.2">
      <c r="A1" s="6" t="s">
        <v>3</v>
      </c>
      <c r="B1" s="6" t="s">
        <v>4</v>
      </c>
      <c r="C1" s="6" t="s">
        <v>5</v>
      </c>
      <c r="D1" s="6" t="s">
        <v>6</v>
      </c>
      <c r="E1" s="6" t="s">
        <v>7</v>
      </c>
      <c r="F1" s="6" t="s">
        <v>8</v>
      </c>
    </row>
    <row r="2" spans="1:6" ht="69.75" customHeight="1" x14ac:dyDescent="0.2">
      <c r="A2" s="7" t="s">
        <v>9</v>
      </c>
      <c r="B2" s="7" t="s">
        <v>10</v>
      </c>
      <c r="C2" s="7" t="s">
        <v>11</v>
      </c>
      <c r="D2" s="7" t="s">
        <v>12</v>
      </c>
      <c r="E2" s="7" t="s">
        <v>13</v>
      </c>
      <c r="F2" s="7" t="s">
        <v>14</v>
      </c>
    </row>
    <row r="3" spans="1:6" ht="69.75" customHeight="1" x14ac:dyDescent="0.2">
      <c r="A3" s="7" t="s">
        <v>15</v>
      </c>
      <c r="B3" s="7" t="s">
        <v>16</v>
      </c>
      <c r="C3" s="7" t="s">
        <v>17</v>
      </c>
      <c r="D3" s="7" t="s">
        <v>18</v>
      </c>
      <c r="E3" s="7" t="s">
        <v>19</v>
      </c>
      <c r="F3" s="7" t="s">
        <v>20</v>
      </c>
    </row>
    <row r="4" spans="1:6" ht="69.75" customHeight="1" x14ac:dyDescent="0.2">
      <c r="A4" s="7" t="s">
        <v>21</v>
      </c>
      <c r="B4" s="7" t="s">
        <v>22</v>
      </c>
      <c r="C4" s="7" t="s">
        <v>23</v>
      </c>
      <c r="D4" s="7" t="s">
        <v>24</v>
      </c>
      <c r="E4" s="7" t="s">
        <v>25</v>
      </c>
      <c r="F4" s="7" t="s">
        <v>26</v>
      </c>
    </row>
    <row r="5" spans="1:6" ht="69.75" customHeight="1" x14ac:dyDescent="0.2">
      <c r="A5" s="7" t="s">
        <v>27</v>
      </c>
      <c r="B5" s="7" t="s">
        <v>28</v>
      </c>
      <c r="C5" s="7" t="s">
        <v>29</v>
      </c>
      <c r="D5" s="7" t="s">
        <v>30</v>
      </c>
      <c r="E5" s="7" t="s">
        <v>31</v>
      </c>
      <c r="F5" s="7" t="s">
        <v>32</v>
      </c>
    </row>
    <row r="6" spans="1:6" ht="69.75" customHeight="1" x14ac:dyDescent="0.2">
      <c r="A6" s="7" t="s">
        <v>33</v>
      </c>
      <c r="B6" s="7" t="s">
        <v>34</v>
      </c>
      <c r="C6" s="7" t="s">
        <v>35</v>
      </c>
      <c r="D6" s="7" t="s">
        <v>36</v>
      </c>
      <c r="E6" s="7" t="s">
        <v>37</v>
      </c>
      <c r="F6" s="7" t="s">
        <v>38</v>
      </c>
    </row>
    <row r="7" spans="1:6" ht="69.75" customHeight="1" x14ac:dyDescent="0.2">
      <c r="A7" s="7" t="s">
        <v>39</v>
      </c>
      <c r="B7" s="7" t="s">
        <v>40</v>
      </c>
      <c r="C7" s="7" t="s">
        <v>41</v>
      </c>
      <c r="D7" s="7" t="s">
        <v>42</v>
      </c>
      <c r="E7" s="7" t="s">
        <v>43</v>
      </c>
      <c r="F7" s="7" t="s">
        <v>44</v>
      </c>
    </row>
    <row r="8" spans="1:6" ht="69.75" customHeight="1" x14ac:dyDescent="0.2">
      <c r="A8" s="7" t="s">
        <v>45</v>
      </c>
      <c r="B8" s="7" t="s">
        <v>46</v>
      </c>
      <c r="C8" s="7" t="s">
        <v>47</v>
      </c>
      <c r="D8" s="7" t="s">
        <v>48</v>
      </c>
      <c r="E8" s="7" t="s">
        <v>49</v>
      </c>
      <c r="F8" s="7" t="s">
        <v>50</v>
      </c>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21"/>
  <sheetViews>
    <sheetView zoomScaleNormal="100" workbookViewId="0">
      <pane ySplit="1" topLeftCell="A2" activePane="bottomLeft" state="frozen"/>
      <selection pane="bottomLeft"/>
    </sheetView>
  </sheetViews>
  <sheetFormatPr baseColWidth="10" defaultColWidth="8.6640625" defaultRowHeight="15" x14ac:dyDescent="0.2"/>
  <cols>
    <col min="1" max="1" width="10" customWidth="1"/>
    <col min="2" max="2" width="11" customWidth="1"/>
    <col min="3" max="3" width="9" customWidth="1"/>
    <col min="4" max="4" width="20" customWidth="1"/>
    <col min="5" max="5" width="24" customWidth="1"/>
    <col min="6" max="6" width="12" customWidth="1"/>
    <col min="7" max="7" width="34" customWidth="1"/>
    <col min="8" max="8" width="40" customWidth="1"/>
    <col min="9" max="9" width="17.83203125" bestFit="1" customWidth="1"/>
    <col min="10" max="10" width="11" customWidth="1"/>
    <col min="11" max="11" width="26" customWidth="1"/>
  </cols>
  <sheetData>
    <row r="1" spans="1:11" ht="30" customHeight="1" x14ac:dyDescent="0.2">
      <c r="A1" s="6" t="s">
        <v>51</v>
      </c>
      <c r="B1" s="6" t="s">
        <v>52</v>
      </c>
      <c r="C1" s="6" t="s">
        <v>53</v>
      </c>
      <c r="D1" s="6" t="s">
        <v>54</v>
      </c>
      <c r="E1" s="6" t="s">
        <v>3</v>
      </c>
      <c r="F1" s="6" t="s">
        <v>55</v>
      </c>
      <c r="G1" s="6" t="s">
        <v>56</v>
      </c>
      <c r="H1" s="6" t="s">
        <v>57</v>
      </c>
      <c r="I1" s="6" t="s">
        <v>58</v>
      </c>
      <c r="J1" s="6" t="s">
        <v>59</v>
      </c>
      <c r="K1" s="6" t="s">
        <v>60</v>
      </c>
    </row>
    <row r="2" spans="1:11" ht="39.75" customHeight="1" x14ac:dyDescent="0.2">
      <c r="A2" s="8" t="s">
        <v>61</v>
      </c>
      <c r="B2" s="8" t="s">
        <v>62</v>
      </c>
      <c r="C2" s="8" t="s">
        <v>63</v>
      </c>
      <c r="D2" s="7" t="s">
        <v>64</v>
      </c>
      <c r="E2" s="8" t="s">
        <v>9</v>
      </c>
      <c r="F2" s="8" t="s">
        <v>65</v>
      </c>
      <c r="G2" s="7" t="s">
        <v>66</v>
      </c>
      <c r="H2" s="7" t="s">
        <v>67</v>
      </c>
      <c r="I2" s="8">
        <v>3.5</v>
      </c>
      <c r="J2" s="8" t="s">
        <v>68</v>
      </c>
      <c r="K2" s="8" t="s">
        <v>69</v>
      </c>
    </row>
    <row r="3" spans="1:11" ht="39.75" customHeight="1" x14ac:dyDescent="0.2">
      <c r="A3" s="8" t="s">
        <v>70</v>
      </c>
      <c r="B3" s="8" t="s">
        <v>62</v>
      </c>
      <c r="C3" s="8" t="s">
        <v>63</v>
      </c>
      <c r="D3" s="7" t="s">
        <v>64</v>
      </c>
      <c r="E3" s="8" t="s">
        <v>15</v>
      </c>
      <c r="F3" s="8" t="s">
        <v>71</v>
      </c>
      <c r="G3" s="7" t="s">
        <v>72</v>
      </c>
      <c r="H3" s="7" t="s">
        <v>73</v>
      </c>
      <c r="I3" s="8">
        <v>2</v>
      </c>
      <c r="J3" s="8" t="s">
        <v>68</v>
      </c>
      <c r="K3" s="8" t="s">
        <v>69</v>
      </c>
    </row>
    <row r="4" spans="1:11" ht="39.75" customHeight="1" x14ac:dyDescent="0.2">
      <c r="A4" s="8" t="s">
        <v>74</v>
      </c>
      <c r="B4" s="8" t="s">
        <v>75</v>
      </c>
      <c r="C4" s="8" t="s">
        <v>76</v>
      </c>
      <c r="D4" s="7" t="s">
        <v>77</v>
      </c>
      <c r="E4" s="8" t="s">
        <v>21</v>
      </c>
      <c r="F4" s="8" t="s">
        <v>65</v>
      </c>
      <c r="G4" s="7" t="s">
        <v>78</v>
      </c>
      <c r="H4" s="7" t="s">
        <v>79</v>
      </c>
      <c r="I4" s="8">
        <v>1.5</v>
      </c>
      <c r="J4" s="8" t="s">
        <v>68</v>
      </c>
      <c r="K4" s="8" t="s">
        <v>69</v>
      </c>
    </row>
    <row r="5" spans="1:11" ht="39.75" customHeight="1" x14ac:dyDescent="0.2">
      <c r="A5" s="8" t="s">
        <v>80</v>
      </c>
      <c r="B5" s="8" t="s">
        <v>75</v>
      </c>
      <c r="C5" s="8" t="s">
        <v>76</v>
      </c>
      <c r="D5" s="7" t="s">
        <v>77</v>
      </c>
      <c r="E5" s="8" t="s">
        <v>27</v>
      </c>
      <c r="F5" s="8" t="s">
        <v>65</v>
      </c>
      <c r="G5" s="7" t="s">
        <v>81</v>
      </c>
      <c r="H5" s="7" t="s">
        <v>82</v>
      </c>
      <c r="I5" s="8">
        <v>1</v>
      </c>
      <c r="J5" s="8" t="s">
        <v>68</v>
      </c>
      <c r="K5" s="8" t="s">
        <v>69</v>
      </c>
    </row>
    <row r="6" spans="1:11" ht="39.75" customHeight="1" x14ac:dyDescent="0.2">
      <c r="A6" s="8" t="s">
        <v>83</v>
      </c>
      <c r="B6" s="8" t="s">
        <v>84</v>
      </c>
      <c r="C6" s="8" t="s">
        <v>85</v>
      </c>
      <c r="D6" s="7" t="s">
        <v>86</v>
      </c>
      <c r="E6" s="8" t="s">
        <v>33</v>
      </c>
      <c r="F6" s="8" t="s">
        <v>71</v>
      </c>
      <c r="G6" s="7" t="s">
        <v>87</v>
      </c>
      <c r="H6" s="7" t="s">
        <v>88</v>
      </c>
      <c r="I6" s="8">
        <v>2</v>
      </c>
      <c r="J6" s="8" t="s">
        <v>68</v>
      </c>
      <c r="K6" s="8" t="s">
        <v>69</v>
      </c>
    </row>
    <row r="7" spans="1:11" ht="39.75" customHeight="1" x14ac:dyDescent="0.2">
      <c r="A7" s="8" t="s">
        <v>89</v>
      </c>
      <c r="B7" s="8" t="s">
        <v>84</v>
      </c>
      <c r="C7" s="8" t="s">
        <v>85</v>
      </c>
      <c r="D7" s="7" t="s">
        <v>86</v>
      </c>
      <c r="E7" s="8" t="s">
        <v>39</v>
      </c>
      <c r="F7" s="8" t="s">
        <v>71</v>
      </c>
      <c r="G7" s="7" t="s">
        <v>90</v>
      </c>
      <c r="H7" s="7" t="s">
        <v>91</v>
      </c>
      <c r="I7" s="8">
        <v>0.75</v>
      </c>
      <c r="J7" s="8" t="s">
        <v>68</v>
      </c>
      <c r="K7" s="8" t="s">
        <v>69</v>
      </c>
    </row>
    <row r="8" spans="1:11" ht="39.75" customHeight="1" x14ac:dyDescent="0.2">
      <c r="A8" s="8" t="s">
        <v>92</v>
      </c>
      <c r="B8" s="8" t="s">
        <v>93</v>
      </c>
      <c r="C8" s="8" t="s">
        <v>94</v>
      </c>
      <c r="D8" s="7" t="s">
        <v>95</v>
      </c>
      <c r="E8" s="8" t="s">
        <v>45</v>
      </c>
      <c r="F8" s="8" t="s">
        <v>65</v>
      </c>
      <c r="G8" s="7" t="s">
        <v>96</v>
      </c>
      <c r="H8" s="7" t="s">
        <v>97</v>
      </c>
      <c r="I8" s="8">
        <v>0.5</v>
      </c>
      <c r="J8" s="8" t="s">
        <v>98</v>
      </c>
      <c r="K8" s="8" t="s">
        <v>99</v>
      </c>
    </row>
    <row r="9" spans="1:11" ht="39.75" customHeight="1" x14ac:dyDescent="0.2">
      <c r="A9" s="8" t="s">
        <v>100</v>
      </c>
      <c r="B9" s="8" t="s">
        <v>93</v>
      </c>
      <c r="C9" s="8" t="s">
        <v>94</v>
      </c>
      <c r="D9" s="7" t="s">
        <v>95</v>
      </c>
      <c r="E9" s="8" t="s">
        <v>9</v>
      </c>
      <c r="F9" s="8" t="s">
        <v>71</v>
      </c>
      <c r="G9" s="7" t="s">
        <v>101</v>
      </c>
      <c r="H9" s="7" t="s">
        <v>102</v>
      </c>
      <c r="I9" s="8">
        <v>4</v>
      </c>
      <c r="J9" s="8" t="s">
        <v>98</v>
      </c>
      <c r="K9" s="8" t="s">
        <v>103</v>
      </c>
    </row>
    <row r="10" spans="1:11" ht="39.75" customHeight="1" x14ac:dyDescent="0.2">
      <c r="A10" s="8" t="s">
        <v>104</v>
      </c>
      <c r="B10" s="8" t="s">
        <v>105</v>
      </c>
      <c r="C10" s="8" t="s">
        <v>63</v>
      </c>
      <c r="D10" s="7" t="s">
        <v>106</v>
      </c>
      <c r="E10" s="8" t="s">
        <v>15</v>
      </c>
      <c r="F10" s="8" t="s">
        <v>65</v>
      </c>
      <c r="G10" s="7" t="s">
        <v>107</v>
      </c>
      <c r="H10" s="7" t="s">
        <v>108</v>
      </c>
      <c r="I10" s="8">
        <v>1.25</v>
      </c>
      <c r="J10" s="8" t="s">
        <v>68</v>
      </c>
      <c r="K10" s="8" t="s">
        <v>69</v>
      </c>
    </row>
    <row r="11" spans="1:11" ht="39.75" customHeight="1" x14ac:dyDescent="0.2">
      <c r="A11" s="8" t="s">
        <v>109</v>
      </c>
      <c r="B11" s="8" t="s">
        <v>105</v>
      </c>
      <c r="C11" s="8" t="s">
        <v>110</v>
      </c>
      <c r="D11" s="7" t="s">
        <v>111</v>
      </c>
      <c r="E11" s="8" t="s">
        <v>21</v>
      </c>
      <c r="F11" s="8" t="s">
        <v>65</v>
      </c>
      <c r="G11" s="7" t="s">
        <v>112</v>
      </c>
      <c r="H11" s="7" t="s">
        <v>113</v>
      </c>
      <c r="I11" s="8">
        <v>1</v>
      </c>
      <c r="J11" s="8" t="s">
        <v>68</v>
      </c>
      <c r="K11" s="8" t="s">
        <v>69</v>
      </c>
    </row>
    <row r="12" spans="1:11" ht="39.75" customHeight="1" x14ac:dyDescent="0.2">
      <c r="A12" s="8" t="s">
        <v>114</v>
      </c>
      <c r="B12" s="8" t="s">
        <v>115</v>
      </c>
      <c r="C12" s="8" t="s">
        <v>110</v>
      </c>
      <c r="D12" s="7" t="s">
        <v>111</v>
      </c>
      <c r="E12" s="8" t="s">
        <v>27</v>
      </c>
      <c r="F12" s="8" t="s">
        <v>71</v>
      </c>
      <c r="G12" s="7" t="s">
        <v>116</v>
      </c>
      <c r="H12" s="7" t="s">
        <v>117</v>
      </c>
      <c r="I12" s="8">
        <v>2.5</v>
      </c>
      <c r="J12" s="8" t="s">
        <v>68</v>
      </c>
      <c r="K12" s="8" t="s">
        <v>69</v>
      </c>
    </row>
    <row r="13" spans="1:11" ht="39.75" customHeight="1" x14ac:dyDescent="0.2">
      <c r="A13" s="8" t="s">
        <v>118</v>
      </c>
      <c r="B13" s="8" t="s">
        <v>119</v>
      </c>
      <c r="C13" s="8" t="s">
        <v>85</v>
      </c>
      <c r="D13" s="7" t="s">
        <v>86</v>
      </c>
      <c r="E13" s="8" t="s">
        <v>33</v>
      </c>
      <c r="F13" s="8" t="s">
        <v>65</v>
      </c>
      <c r="G13" s="7" t="s">
        <v>120</v>
      </c>
      <c r="H13" s="7" t="s">
        <v>121</v>
      </c>
      <c r="I13" s="8">
        <v>0.5</v>
      </c>
      <c r="J13" s="8" t="s">
        <v>68</v>
      </c>
      <c r="K13" s="8" t="s">
        <v>69</v>
      </c>
    </row>
    <row r="14" spans="1:11" ht="39.75" customHeight="1" x14ac:dyDescent="0.2">
      <c r="A14" s="8" t="s">
        <v>122</v>
      </c>
      <c r="B14" s="8" t="s">
        <v>123</v>
      </c>
      <c r="C14" s="8" t="s">
        <v>76</v>
      </c>
      <c r="D14" s="7" t="s">
        <v>77</v>
      </c>
      <c r="E14" s="8" t="s">
        <v>39</v>
      </c>
      <c r="F14" s="8" t="s">
        <v>71</v>
      </c>
      <c r="G14" s="7" t="s">
        <v>124</v>
      </c>
      <c r="H14" s="7" t="s">
        <v>125</v>
      </c>
      <c r="I14" s="8">
        <v>0.5</v>
      </c>
      <c r="J14" s="8" t="s">
        <v>68</v>
      </c>
      <c r="K14" s="8" t="s">
        <v>69</v>
      </c>
    </row>
    <row r="15" spans="1:11" ht="39.75" customHeight="1" x14ac:dyDescent="0.2">
      <c r="A15" s="8" t="s">
        <v>126</v>
      </c>
      <c r="B15" s="8" t="s">
        <v>123</v>
      </c>
      <c r="C15" s="8" t="s">
        <v>94</v>
      </c>
      <c r="D15" s="7" t="s">
        <v>127</v>
      </c>
      <c r="E15" s="8" t="s">
        <v>15</v>
      </c>
      <c r="F15" s="8" t="s">
        <v>65</v>
      </c>
      <c r="G15" s="7" t="s">
        <v>128</v>
      </c>
      <c r="H15" s="7" t="s">
        <v>129</v>
      </c>
      <c r="I15" s="8">
        <v>3</v>
      </c>
      <c r="J15" s="8" t="s">
        <v>68</v>
      </c>
      <c r="K15" s="8" t="s">
        <v>69</v>
      </c>
    </row>
    <row r="16" spans="1:11" ht="39.75" customHeight="1" x14ac:dyDescent="0.2">
      <c r="A16" s="8" t="s">
        <v>130</v>
      </c>
      <c r="B16" s="8" t="s">
        <v>131</v>
      </c>
      <c r="C16" s="8" t="s">
        <v>110</v>
      </c>
      <c r="D16" s="7" t="s">
        <v>111</v>
      </c>
      <c r="E16" s="8" t="s">
        <v>9</v>
      </c>
      <c r="F16" s="8" t="s">
        <v>65</v>
      </c>
      <c r="G16" s="7" t="s">
        <v>132</v>
      </c>
      <c r="H16" s="7" t="s">
        <v>133</v>
      </c>
      <c r="I16" s="8">
        <v>1</v>
      </c>
      <c r="J16" s="8" t="s">
        <v>68</v>
      </c>
      <c r="K16" s="8" t="s">
        <v>69</v>
      </c>
    </row>
    <row r="17" spans="1:11" ht="39.75" customHeight="1" x14ac:dyDescent="0.2">
      <c r="A17" s="8" t="s">
        <v>134</v>
      </c>
      <c r="B17" s="8" t="s">
        <v>135</v>
      </c>
      <c r="C17" s="8" t="s">
        <v>63</v>
      </c>
      <c r="D17" s="7" t="s">
        <v>106</v>
      </c>
      <c r="E17" s="8" t="s">
        <v>45</v>
      </c>
      <c r="F17" s="8" t="s">
        <v>71</v>
      </c>
      <c r="G17" s="7" t="s">
        <v>136</v>
      </c>
      <c r="H17" s="7" t="s">
        <v>137</v>
      </c>
      <c r="I17" s="8">
        <v>1</v>
      </c>
      <c r="J17" s="8" t="s">
        <v>98</v>
      </c>
      <c r="K17" s="8" t="s">
        <v>99</v>
      </c>
    </row>
    <row r="18" spans="1:11" ht="39.75" customHeight="1" x14ac:dyDescent="0.2">
      <c r="A18" s="8" t="s">
        <v>138</v>
      </c>
      <c r="B18" s="8" t="s">
        <v>135</v>
      </c>
      <c r="C18" s="8" t="s">
        <v>85</v>
      </c>
      <c r="D18" s="7" t="s">
        <v>86</v>
      </c>
      <c r="E18" s="8" t="s">
        <v>27</v>
      </c>
      <c r="F18" s="8" t="s">
        <v>65</v>
      </c>
      <c r="G18" s="7" t="s">
        <v>139</v>
      </c>
      <c r="H18" s="7" t="s">
        <v>140</v>
      </c>
      <c r="I18" s="8">
        <v>1.5</v>
      </c>
      <c r="J18" s="8" t="s">
        <v>68</v>
      </c>
      <c r="K18" s="8" t="s">
        <v>69</v>
      </c>
    </row>
    <row r="19" spans="1:11" ht="39.75" customHeight="1" x14ac:dyDescent="0.2">
      <c r="A19" s="8" t="s">
        <v>141</v>
      </c>
      <c r="B19" s="8" t="s">
        <v>142</v>
      </c>
      <c r="C19" s="8" t="s">
        <v>76</v>
      </c>
      <c r="D19" s="7" t="s">
        <v>77</v>
      </c>
      <c r="E19" s="8" t="s">
        <v>21</v>
      </c>
      <c r="F19" s="8" t="s">
        <v>71</v>
      </c>
      <c r="G19" s="7" t="s">
        <v>143</v>
      </c>
      <c r="H19" s="7" t="s">
        <v>144</v>
      </c>
      <c r="I19" s="8">
        <v>2</v>
      </c>
      <c r="J19" s="8" t="s">
        <v>98</v>
      </c>
      <c r="K19" s="8" t="s">
        <v>145</v>
      </c>
    </row>
    <row r="20" spans="1:11" ht="39.75" customHeight="1" x14ac:dyDescent="0.2">
      <c r="A20" s="8" t="s">
        <v>146</v>
      </c>
      <c r="B20" s="8" t="s">
        <v>147</v>
      </c>
      <c r="C20" s="8" t="s">
        <v>94</v>
      </c>
      <c r="D20" s="7" t="s">
        <v>127</v>
      </c>
      <c r="E20" s="8" t="s">
        <v>33</v>
      </c>
      <c r="F20" s="8" t="s">
        <v>65</v>
      </c>
      <c r="G20" s="7" t="s">
        <v>148</v>
      </c>
      <c r="H20" s="7" t="s">
        <v>149</v>
      </c>
      <c r="I20" s="8">
        <v>1</v>
      </c>
      <c r="J20" s="8" t="s">
        <v>68</v>
      </c>
      <c r="K20" s="8" t="s">
        <v>69</v>
      </c>
    </row>
    <row r="21" spans="1:11" ht="39.75" customHeight="1" x14ac:dyDescent="0.2">
      <c r="A21" s="8" t="s">
        <v>150</v>
      </c>
      <c r="B21" s="8" t="s">
        <v>151</v>
      </c>
      <c r="C21" s="8" t="s">
        <v>110</v>
      </c>
      <c r="D21" s="7" t="s">
        <v>111</v>
      </c>
      <c r="E21" s="8" t="s">
        <v>39</v>
      </c>
      <c r="F21" s="8" t="s">
        <v>71</v>
      </c>
      <c r="G21" s="7" t="s">
        <v>152</v>
      </c>
      <c r="H21" s="7" t="s">
        <v>153</v>
      </c>
      <c r="I21" s="8">
        <v>0.5</v>
      </c>
      <c r="J21" s="8" t="s">
        <v>68</v>
      </c>
      <c r="K21" s="8" t="s">
        <v>69</v>
      </c>
    </row>
  </sheetData>
  <conditionalFormatting sqref="I2:I21">
    <cfRule type="dataBar" priority="3">
      <dataBar>
        <cfvo type="min"/>
        <cfvo type="max"/>
        <color rgb="FF6FA8DC"/>
      </dataBar>
      <extLst>
        <ext xmlns:x14="http://schemas.microsoft.com/office/spreadsheetml/2009/9/main" uri="{B025F937-C7B1-47D3-B67F-A62EFF666E3E}">
          <x14:id>{D5D78088-E4D4-4C9F-96BF-95293FD2B2A7}</x14:id>
        </ext>
      </extLst>
    </cfRule>
  </conditionalFormatting>
  <conditionalFormatting sqref="J2:J21">
    <cfRule type="cellIs" dxfId="1" priority="2" operator="equal">
      <formula>"Y"</formula>
    </cfRule>
  </conditionalFormatting>
  <pageMargins left="0.75" right="0.75" top="1" bottom="1" header="0.511811023622047" footer="0.511811023622047"/>
  <pageSetup paperSize="9" orientation="portrait" horizontalDpi="300" verticalDpi="300"/>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D5D78088-E4D4-4C9F-96BF-95293FD2B2A7}">
            <x14:dataBar axisPosition="none">
              <x14:cfvo type="min"/>
              <x14:cfvo type="max"/>
              <x14:negativeFillColor rgb="FF6FA8DC"/>
            </x14:dataBar>
          </x14:cfRule>
          <xm:sqref>I2:I21</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16"/>
  <sheetViews>
    <sheetView zoomScaleNormal="100" workbookViewId="0">
      <selection sqref="A1:C1"/>
    </sheetView>
  </sheetViews>
  <sheetFormatPr baseColWidth="10" defaultColWidth="8.6640625" defaultRowHeight="15" x14ac:dyDescent="0.2"/>
  <cols>
    <col min="1" max="1" width="26" customWidth="1"/>
    <col min="2" max="2" width="14" customWidth="1"/>
    <col min="3" max="3" width="20" customWidth="1"/>
  </cols>
  <sheetData>
    <row r="1" spans="1:3" ht="17" x14ac:dyDescent="0.2">
      <c r="A1" s="2" t="s">
        <v>154</v>
      </c>
      <c r="B1" s="2"/>
      <c r="C1" s="2"/>
    </row>
    <row r="2" spans="1:3" x14ac:dyDescent="0.2">
      <c r="A2" s="1" t="s">
        <v>155</v>
      </c>
      <c r="B2" s="1"/>
      <c r="C2" s="1"/>
    </row>
    <row r="4" spans="1:3" x14ac:dyDescent="0.2">
      <c r="A4" s="9" t="s">
        <v>3</v>
      </c>
      <c r="B4" s="9" t="s">
        <v>156</v>
      </c>
      <c r="C4" s="9" t="s">
        <v>157</v>
      </c>
    </row>
    <row r="5" spans="1:3" x14ac:dyDescent="0.2">
      <c r="A5" s="10" t="s">
        <v>9</v>
      </c>
      <c r="B5" s="10">
        <f>COUNTIFS('Project Issue Log'!E2:E21,A5)</f>
        <v>3</v>
      </c>
      <c r="C5" s="10">
        <f>IFERROR(ROUND(AVERAGEIFS('Project Issue Log'!I2:I21,'Project Issue Log'!E2:E21,A5),2),0)</f>
        <v>2.83</v>
      </c>
    </row>
    <row r="6" spans="1:3" x14ac:dyDescent="0.2">
      <c r="A6" s="10" t="s">
        <v>15</v>
      </c>
      <c r="B6" s="10">
        <f>COUNTIFS('Project Issue Log'!E2:E21,A6)</f>
        <v>3</v>
      </c>
      <c r="C6" s="10">
        <f>IFERROR(ROUND(AVERAGEIFS('Project Issue Log'!I2:I21,'Project Issue Log'!E2:E21,A6),2),0)</f>
        <v>2.08</v>
      </c>
    </row>
    <row r="7" spans="1:3" x14ac:dyDescent="0.2">
      <c r="A7" s="10" t="s">
        <v>21</v>
      </c>
      <c r="B7" s="10">
        <f>COUNTIFS('Project Issue Log'!E2:E21,A7)</f>
        <v>3</v>
      </c>
      <c r="C7" s="10">
        <f>IFERROR(ROUND(AVERAGEIFS('Project Issue Log'!I2:I21,'Project Issue Log'!E2:E21,A7),2),0)</f>
        <v>1.5</v>
      </c>
    </row>
    <row r="8" spans="1:3" x14ac:dyDescent="0.2">
      <c r="A8" s="10" t="s">
        <v>27</v>
      </c>
      <c r="B8" s="10">
        <f>COUNTIFS('Project Issue Log'!E2:E21,A8)</f>
        <v>3</v>
      </c>
      <c r="C8" s="10">
        <f>IFERROR(ROUND(AVERAGEIFS('Project Issue Log'!I2:I21,'Project Issue Log'!E2:E21,A8),2),0)</f>
        <v>1.67</v>
      </c>
    </row>
    <row r="9" spans="1:3" x14ac:dyDescent="0.2">
      <c r="A9" s="10" t="s">
        <v>33</v>
      </c>
      <c r="B9" s="10">
        <f>COUNTIFS('Project Issue Log'!E2:E21,A9)</f>
        <v>3</v>
      </c>
      <c r="C9" s="10">
        <f>IFERROR(ROUND(AVERAGEIFS('Project Issue Log'!I2:I21,'Project Issue Log'!E2:E21,A9),2),0)</f>
        <v>1.17</v>
      </c>
    </row>
    <row r="10" spans="1:3" x14ac:dyDescent="0.2">
      <c r="A10" s="10" t="s">
        <v>39</v>
      </c>
      <c r="B10" s="10">
        <f>COUNTIFS('Project Issue Log'!E2:E21,A10)</f>
        <v>3</v>
      </c>
      <c r="C10" s="10">
        <f>IFERROR(ROUND(AVERAGEIFS('Project Issue Log'!I2:I21,'Project Issue Log'!E2:E21,A10),2),0)</f>
        <v>0.57999999999999996</v>
      </c>
    </row>
    <row r="11" spans="1:3" x14ac:dyDescent="0.2">
      <c r="A11" s="10" t="s">
        <v>45</v>
      </c>
      <c r="B11" s="10">
        <f>COUNTIFS('Project Issue Log'!E2:E21,A11)</f>
        <v>2</v>
      </c>
      <c r="C11" s="10">
        <f>IFERROR(ROUND(AVERAGEIFS('Project Issue Log'!I2:I21,'Project Issue Log'!E2:E21,A11),2),0)</f>
        <v>0.75</v>
      </c>
    </row>
    <row r="13" spans="1:3" x14ac:dyDescent="0.2">
      <c r="A13" s="11" t="s">
        <v>158</v>
      </c>
      <c r="B13" s="11">
        <f>COUNTA('Project Issue Log'!A2:A21)</f>
        <v>20</v>
      </c>
    </row>
    <row r="14" spans="1:3" x14ac:dyDescent="0.2">
      <c r="A14" s="12" t="s">
        <v>159</v>
      </c>
      <c r="B14" s="12">
        <f>COUNTIFS('Project Issue Log'!J2:J21,"Y")</f>
        <v>4</v>
      </c>
    </row>
    <row r="15" spans="1:3" x14ac:dyDescent="0.2">
      <c r="A15" s="12" t="s">
        <v>160</v>
      </c>
      <c r="B15" s="13">
        <f>ROUND(B14/B13,3)</f>
        <v>0.2</v>
      </c>
    </row>
    <row r="16" spans="1:3" x14ac:dyDescent="0.2">
      <c r="A16" s="12" t="s">
        <v>161</v>
      </c>
      <c r="B16" s="12">
        <f>ROUND(AVERAGE('Project Issue Log'!I2:I21),2)</f>
        <v>1.55</v>
      </c>
    </row>
  </sheetData>
  <mergeCells count="2">
    <mergeCell ref="A1:C1"/>
    <mergeCell ref="A2:C2"/>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9"/>
  <sheetViews>
    <sheetView zoomScaleNormal="100" workbookViewId="0">
      <pane ySplit="1" topLeftCell="A2" activePane="bottomLeft" state="frozen"/>
      <selection pane="bottomLeft"/>
    </sheetView>
  </sheetViews>
  <sheetFormatPr baseColWidth="10" defaultColWidth="8.6640625" defaultRowHeight="15" x14ac:dyDescent="0.2"/>
  <cols>
    <col min="1" max="1" width="22" customWidth="1"/>
    <col min="2" max="3" width="16" customWidth="1"/>
    <col min="4" max="4" width="42" customWidth="1"/>
    <col min="5" max="5" width="20" customWidth="1"/>
  </cols>
  <sheetData>
    <row r="1" spans="1:5" ht="30" x14ac:dyDescent="0.2">
      <c r="A1" s="6" t="s">
        <v>54</v>
      </c>
      <c r="B1" s="6" t="s">
        <v>162</v>
      </c>
      <c r="C1" s="6" t="s">
        <v>163</v>
      </c>
      <c r="D1" s="6" t="s">
        <v>164</v>
      </c>
      <c r="E1" s="6" t="s">
        <v>165</v>
      </c>
    </row>
    <row r="2" spans="1:5" ht="33.75" customHeight="1" x14ac:dyDescent="0.2">
      <c r="A2" s="8" t="s">
        <v>64</v>
      </c>
      <c r="B2" s="8" t="s">
        <v>62</v>
      </c>
      <c r="C2" s="8" t="s">
        <v>166</v>
      </c>
      <c r="D2" s="7" t="s">
        <v>167</v>
      </c>
      <c r="E2" s="8" t="s">
        <v>168</v>
      </c>
    </row>
    <row r="3" spans="1:5" ht="33.75" customHeight="1" x14ac:dyDescent="0.2">
      <c r="A3" s="8" t="s">
        <v>77</v>
      </c>
      <c r="B3" s="8" t="s">
        <v>75</v>
      </c>
      <c r="C3" s="8" t="s">
        <v>169</v>
      </c>
      <c r="D3" s="7" t="s">
        <v>170</v>
      </c>
      <c r="E3" s="8" t="s">
        <v>168</v>
      </c>
    </row>
    <row r="4" spans="1:5" ht="33.75" customHeight="1" x14ac:dyDescent="0.2">
      <c r="A4" s="8" t="s">
        <v>86</v>
      </c>
      <c r="B4" s="8" t="s">
        <v>84</v>
      </c>
      <c r="C4" s="8" t="s">
        <v>171</v>
      </c>
      <c r="D4" s="7" t="s">
        <v>172</v>
      </c>
      <c r="E4" s="8" t="s">
        <v>168</v>
      </c>
    </row>
    <row r="5" spans="1:5" ht="33.75" customHeight="1" x14ac:dyDescent="0.2">
      <c r="A5" s="8" t="s">
        <v>95</v>
      </c>
      <c r="B5" s="8" t="s">
        <v>93</v>
      </c>
      <c r="C5" s="8" t="s">
        <v>84</v>
      </c>
      <c r="D5" s="7" t="s">
        <v>173</v>
      </c>
      <c r="E5" s="8" t="s">
        <v>174</v>
      </c>
    </row>
    <row r="6" spans="1:5" ht="33.75" customHeight="1" x14ac:dyDescent="0.2">
      <c r="A6" s="8" t="s">
        <v>106</v>
      </c>
      <c r="B6" s="8" t="s">
        <v>105</v>
      </c>
      <c r="C6" s="8" t="s">
        <v>62</v>
      </c>
      <c r="D6" s="7" t="s">
        <v>175</v>
      </c>
      <c r="E6" s="8" t="s">
        <v>168</v>
      </c>
    </row>
    <row r="7" spans="1:5" ht="33.75" customHeight="1" x14ac:dyDescent="0.2">
      <c r="A7" s="8" t="s">
        <v>111</v>
      </c>
      <c r="B7" s="8" t="s">
        <v>115</v>
      </c>
      <c r="C7" s="8" t="s">
        <v>93</v>
      </c>
      <c r="D7" s="7" t="s">
        <v>176</v>
      </c>
      <c r="E7" s="8" t="s">
        <v>168</v>
      </c>
    </row>
    <row r="9" spans="1:5" x14ac:dyDescent="0.2">
      <c r="A9" s="1" t="s">
        <v>177</v>
      </c>
      <c r="B9" s="1"/>
      <c r="C9" s="1"/>
      <c r="D9" s="1"/>
      <c r="E9" s="1"/>
    </row>
  </sheetData>
  <mergeCells count="1">
    <mergeCell ref="A9:E9"/>
  </mergeCells>
  <conditionalFormatting sqref="E2:E7">
    <cfRule type="cellIs" dxfId="0" priority="2" operator="equal">
      <formula>"Ready"</formula>
    </cfRule>
  </conditionalFormatting>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Overview</vt:lpstr>
      <vt:lpstr>Issue Resolution Matrix</vt:lpstr>
      <vt:lpstr>Project Issue Log</vt:lpstr>
      <vt:lpstr>Summary</vt:lpstr>
      <vt:lpstr>Project Training Readiness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Gurung, Karma</cp:lastModifiedBy>
  <cp:revision>0</cp:revision>
  <dcterms:created xsi:type="dcterms:W3CDTF">2026-08-27T21:07:00Z</dcterms:created>
  <dcterms:modified xsi:type="dcterms:W3CDTF">2026-08-27T21:25:49Z</dcterms:modified>
  <dc:language>en-US</dc:language>
</cp:coreProperties>
</file>