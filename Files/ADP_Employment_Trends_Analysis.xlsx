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Sector Data" sheetId="2" state="visible" r:id="rId4"/>
    <sheet name="Trend Analysis" sheetId="3" state="visible" r:id="rId5"/>
    <sheet name="Pay Growth" sheetId="4" state="visible" r:id="rId6"/>
    <sheet name="Finding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<sst xmlns="http://schemas.openxmlformats.org/spreadsheetml/2006/main" count="172" uniqueCount="48">
  <si>
    <t xml:space="preserve">U.S. Private Sector Employment Trends — ADP National Employment Report</t>
  </si>
  <si>
    <t xml:space="preserve">An analysis of real, publicly published monthly employment data from ADP's National Employment Report, April-July 2026.</t>
  </si>
  <si>
    <t xml:space="preserve">Data Source</t>
  </si>
  <si>
    <t xml:space="preserve">ADP National Employment Report (adpemploymentreport.com), a monthly public report on U.S. private-sector employment produced by the ADP Research Institute. All figures in this workbook are real published figures, not simulated data, sourced from ADP's press releases for April, May, June, and July 2026.</t>
  </si>
  <si>
    <t xml:space="preserve">Purpose</t>
  </si>
  <si>
    <t xml:space="preserve">Practice analyzing real workforce/payroll data at the industry level: tracking month-over-month hiring trends by sector, identifying which sectors are driving growth or weakness, and comparing pay growth for job-stayers vs. job-changers.</t>
  </si>
  <si>
    <t xml:space="preserve">Sheets</t>
  </si>
  <si>
    <t xml:space="preserve">Sector Data (raw monthly figures by industry) | Trend Analysis (live-formula summary + charts) | Pay Growth (job-stayer vs. job-changer trend) | Findings (written summary).</t>
  </si>
  <si>
    <t xml:space="preserve">Skills demonstrated</t>
  </si>
  <si>
    <t xml:space="preserve">Working with real external/public data sources, Excel formulas (SUMIFS, trend calculations), charting, and written interpretation of workforce/payroll trends for a business audience.</t>
  </si>
  <si>
    <t xml:space="preserve">Month</t>
  </si>
  <si>
    <t xml:space="preserve">Sector</t>
  </si>
  <si>
    <t xml:space="preserve">Sector Group</t>
  </si>
  <si>
    <t xml:space="preserve">Jobs Added (thousands)</t>
  </si>
  <si>
    <t xml:space="preserve">2026-04</t>
  </si>
  <si>
    <t xml:space="preserve">Natural Resources/Mining</t>
  </si>
  <si>
    <t xml:space="preserve">Goods-Producing</t>
  </si>
  <si>
    <t xml:space="preserve">Construction</t>
  </si>
  <si>
    <t xml:space="preserve">Manufacturing</t>
  </si>
  <si>
    <t xml:space="preserve">Trade/Transportation/Utilities</t>
  </si>
  <si>
    <t xml:space="preserve">Service-Providing</t>
  </si>
  <si>
    <t xml:space="preserve">Information</t>
  </si>
  <si>
    <t xml:space="preserve">Financial Activities</t>
  </si>
  <si>
    <t xml:space="preserve">Professional/Business Services</t>
  </si>
  <si>
    <t xml:space="preserve">Education/Health Services</t>
  </si>
  <si>
    <t xml:space="preserve">Leisure/Hospitality</t>
  </si>
  <si>
    <t xml:space="preserve">Other Services</t>
  </si>
  <si>
    <t xml:space="preserve">2026-05</t>
  </si>
  <si>
    <t xml:space="preserve">2026-06</t>
  </si>
  <si>
    <t xml:space="preserve">2026-07</t>
  </si>
  <si>
    <t xml:space="preserve">Source: ADP National Employment Report (adpemploymentreport.com), press releases for April-July 2026.</t>
  </si>
  <si>
    <t xml:space="preserve">Trend Analysis</t>
  </si>
  <si>
    <t xml:space="preserve">Live-formula summary of the Sector Data tab.</t>
  </si>
  <si>
    <t xml:space="preserve">Total Private-Sector Jobs Added by Month</t>
  </si>
  <si>
    <t xml:space="preserve">Total Jobs Added (thousands)</t>
  </si>
  <si>
    <t xml:space="preserve">Cumulative Jobs Added by Sector (Apr-Jul 2026)</t>
  </si>
  <si>
    <t xml:space="preserve">Cumulative Jobs Added (thousands)</t>
  </si>
  <si>
    <t xml:space="preserve">Annual Pay Growth: Job-Stayers vs. Job-Changers</t>
  </si>
  <si>
    <t xml:space="preserve">Source: ADP National Employment Report, April-July 2026.</t>
  </si>
  <si>
    <t xml:space="preserve">Job-Stayers (%)</t>
  </si>
  <si>
    <t xml:space="preserve">Job-Changers (%)</t>
  </si>
  <si>
    <t xml:space="preserve">Findings &amp; Interpretation</t>
  </si>
  <si>
    <t xml:space="preserve">This analysis uses real, publicly published figures from ADP's National Employment Report for April through July 2026 (adpemploymentreport.com).</t>
  </si>
  <si>
    <t xml:space="preserve">Slowing growth trend: total private-sector job additions declined each month across this period - from 109,000 in April to 122,000 in May, then down to 98,000 in June and 44,000 in July - suggesting hiring momentum weakened notably over the summer.</t>
  </si>
  <si>
    <t xml:space="preserve">Education/Health Services is the clear growth engine: it added more jobs than any other sector in every single month analyzed (61,000 in April alone), and was often the difference between an otherwise-flat report and positive overall job growth.</t>
  </si>
  <si>
    <t xml:space="preserve">Leisure/Hospitality was inconsistent and turned negative: after modest gains in April, May, and June, the sector lost 11,000 jobs in July - the kind of shift that would be worth flagging early rather than only noticing after the fact.</t>
  </si>
  <si>
    <t xml:space="preserve">Pay growth gap between job-stayers and job-changers widened: job-stayers held steady at 4.4% annual pay growth throughout the period, but job-changers saw pay growth climb from 6.5-6.6% up to 7.0% in July - the highest rate since August 2025 - suggesting switching jobs became relatively more lucrative even as overall hiring slowed.</t>
  </si>
  <si>
    <t xml:space="preserve">Why this matters for payroll: sector-level and pay-growth trends like these are the kind of external benchmarking data a payroll or HR analyst might reference when explaining pay trends, budgeting for merit increases, or contextualizing a company's own hiring and retention data against the broader labor market.</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</si>
</sst>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222222"/>
      <name val="Cambria"/>
      <family val="0"/>
      <charset val="1"/>
    </font>
    <font>
      <i val="true"/>
      <sz val="10"/>
      <color rgb="FF555555"/>
      <name val="Cambria"/>
      <family val="0"/>
      <charset val="1"/>
    </font>
    <font>
      <b val="true"/>
      <sz val="11"/>
      <name val="Cambria"/>
      <family val="0"/>
      <charset val="1"/>
    </font>
    <font>
      <sz val="10"/>
      <name val="Cambria"/>
      <family val="0"/>
      <charset val="1"/>
    </font>
    <font>
      <b val="true"/>
      <sz val="10"/>
      <color rgb="FF222222"/>
      <name val="Cambria"/>
      <family val="0"/>
      <charset val="1"/>
    </font>
    <font>
      <b val="true"/>
      <sz val="12"/>
      <name val="Cambria"/>
      <family val="0"/>
      <charset val="1"/>
    </font>
    <font>
      <b val="true"/>
      <sz val="18"/>
      <color rgb="FF000000"/>
      <name val="Calibri"/>
      <family val="2"/>
    </font>
    <font>
      <sz val="10"/>
      <color rgb="FF000000"/>
      <name val="Calibri"/>
      <family val="2"/>
    </font>
    <font>
      <b val="true"/>
      <sz val="10"/>
      <color rgb="FF000000"/>
      <name val="Calibri"/>
      <family val="2"/>
    </font>
  </fonts>
  <fills count="3">
    <fill>
      <patternFill patternType="none"/>
    </fill>
    <fill>
      <patternFill patternType="gray125"/>
    </fill>
    <fill>
      <patternFill patternType="solid">
        <fgColor rgb="FFC6DADA"/>
        <bgColor rgb="FFD9D9D9"/>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C6DADA"/>
          <bgColor rgb="FF000000"/>
        </patternFill>
      </fill>
    </dxf>
    <dxf>
      <fill>
        <patternFill patternType="solid">
          <bgColor rgb="FF000000"/>
        </patternFill>
      </fill>
    </dxf>
    <dxf>
      <fill>
        <patternFill patternType="solid">
          <fgColor rgb="FF222222"/>
          <bgColor rgb="FF000000"/>
        </patternFill>
      </fill>
    </dxf>
    <dxf>
      <fill>
        <patternFill patternType="solid">
          <fgColor rgb="FF55555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78787"/>
      <rgbColor rgb="FF9999FF"/>
      <rgbColor rgb="FFC0504D"/>
      <rgbColor rgb="FFFFFFCC"/>
      <rgbColor rgb="FFCCFFFF"/>
      <rgbColor rgb="FF660066"/>
      <rgbColor rgb="FFFF8080"/>
      <rgbColor rgb="FF0066CC"/>
      <rgbColor rgb="FFC6DADA"/>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4F81BD"/>
      <rgbColor rgb="FF33CCCC"/>
      <rgbColor rgb="FF99CC00"/>
      <rgbColor rgb="FFFFCC00"/>
      <rgbColor rgb="FFFF9900"/>
      <rgbColor rgb="FFFF6600"/>
      <rgbColor rgb="FF4A7EBB"/>
      <rgbColor rgb="FF969696"/>
      <rgbColor rgb="FF003366"/>
      <rgbColor rgb="FF339966"/>
      <rgbColor rgb="FF003300"/>
      <rgbColor rgb="FF333300"/>
      <rgbColor rgb="FF993300"/>
      <rgbColor rgb="FF993366"/>
      <rgbColor rgb="FF555555"/>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Total Private-Sector Jobs Added by Month</a:t>
            </a:r>
          </a:p>
        </c:rich>
      </c:tx>
      <c:overlay val="0"/>
      <c:spPr>
        <a:noFill/>
        <a:ln w="0">
          <a:noFill/>
        </a:ln>
      </c:spPr>
    </c:title>
    <c:autoTitleDeleted val="0"/>
    <c:plotArea>
      <c:lineChart>
        <c:grouping val="standard"/>
        <c:varyColors val="0"/>
        <c:ser>
          <c:idx val="0"/>
          <c:order val="0"/>
          <c:tx>
            <c:strRef>
              <c:f>'Trend Analysis'!B5</c:f>
              <c:strCache>
                <c:ptCount val="1"/>
                <c:pt idx="0">
                  <c:v>Total Jobs Added (thousands)</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'Trend Analysis'!$A$6:$A$9</c:f>
              <c:strCache>
                <c:ptCount val="4"/>
                <c:pt idx="0">
                  <c:v>2026-04</c:v>
                </c:pt>
                <c:pt idx="1">
                  <c:v>2026-05</c:v>
                </c:pt>
                <c:pt idx="2">
                  <c:v>2026-06</c:v>
                </c:pt>
                <c:pt idx="3">
                  <c:v>2026-07</c:v>
                </c:pt>
              </c:strCache>
            </c:strRef>
          </c:cat>
          <c:val>
            <c:numRef>
              <c:f>'Trend Analysis'!$B$6:$B$9</c:f>
              <c:numCache>
                <c:formatCode>General</c:formatCode>
                <c:ptCount val="4"/>
                <c:pt idx="0">
                  <c:v>109</c:v>
                </c:pt>
                <c:pt idx="1">
                  <c:v>122</c:v>
                </c:pt>
                <c:pt idx="2">
                  <c:v>98</c:v>
                </c:pt>
                <c:pt idx="3">
                  <c:v>55</c:v>
                </c:pt>
              </c:numCache>
            </c:numRef>
          </c:val>
          <c:smooth val="1"/>
        </c:ser>
        <c:hiLowLines>
          <c:spPr>
            <a:ln w="0">
              <a:noFill/>
            </a:ln>
          </c:spPr>
        </c:hiLowLines>
        <c:marker val="0"/>
        <c:axId val="31411034"/>
        <c:axId val="2177636"/>
      </c:lineChart>
      <c:catAx>
        <c:axId val="3141103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77636"/>
        <c:crosses val="autoZero"/>
        <c:auto val="1"/>
        <c:lblAlgn val="ctr"/>
        <c:lblOffset val="100"/>
        <c:noMultiLvlLbl val="0"/>
      </c:catAx>
      <c:valAx>
        <c:axId val="217763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Jobs Added (thousands)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41103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Jobs Added by Sector (Apr-Jul 2026)</a:t>
            </a:r>
          </a:p>
        </c:rich>
      </c:tx>
      <c:overlay val="0"/>
      <c:spPr>
        <a:noFill/>
        <a:ln w="0">
          <a:noFill/>
        </a:ln>
      </c:spPr>
    </c:title>
    <c:autoTitleDeleted val="0"/>
    <c:plotArea>
      <c:barChart>
        <c:barDir val="col"/>
        <c:grouping val="clustered"/>
        <c:varyColors val="0"/>
        <c:ser>
          <c:idx val="0"/>
          <c:order val="0"/>
          <c:tx>
            <c:strRef>
              <c:f>'Trend Analysis'!B13</c:f>
              <c:strCache>
                <c:ptCount val="1"/>
                <c:pt idx="0">
                  <c:v>Cumulative Jobs Added (thousands)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'Trend Analysis'!$A$14:$A$23</c:f>
              <c:strCache>
                <c:ptCount val="10"/>
                <c:pt idx="0">
                  <c:v>Natural Resources/Mining</c:v>
                </c:pt>
                <c:pt idx="1">
                  <c:v>Construction</c:v>
                </c:pt>
                <c:pt idx="2">
                  <c:v>Manufacturing</c:v>
                </c:pt>
                <c:pt idx="3">
                  <c:v>Trade/Transportation/Utilities</c:v>
                </c:pt>
                <c:pt idx="4">
                  <c:v>Information</c:v>
                </c:pt>
                <c:pt idx="5">
                  <c:v>Financial Activities</c:v>
                </c:pt>
                <c:pt idx="6">
                  <c:v>Professional/Business Services</c:v>
                </c:pt>
                <c:pt idx="7">
                  <c:v>Education/Health Services</c:v>
                </c:pt>
                <c:pt idx="8">
                  <c:v>Leisure/Hospitality</c:v>
                </c:pt>
                <c:pt idx="9">
                  <c:v>Other Services</c:v>
                </c:pt>
              </c:strCache>
            </c:strRef>
          </c:cat>
          <c:val>
            <c:numRef>
              <c:f>'Trend Analysis'!$B$14:$B$23</c:f>
              <c:numCache>
                <c:formatCode>General</c:formatCode>
                <c:ptCount val="10"/>
                <c:pt idx="0">
                  <c:v>-11</c:v>
                </c:pt>
                <c:pt idx="1">
                  <c:v>21</c:v>
                </c:pt>
                <c:pt idx="2">
                  <c:v>12</c:v>
                </c:pt>
                <c:pt idx="3">
                  <c:v>68</c:v>
                </c:pt>
                <c:pt idx="4">
                  <c:v>7</c:v>
                </c:pt>
                <c:pt idx="5">
                  <c:v>40</c:v>
                </c:pt>
                <c:pt idx="6">
                  <c:v>14</c:v>
                </c:pt>
                <c:pt idx="7">
                  <c:v>202</c:v>
                </c:pt>
                <c:pt idx="8">
                  <c:v>3</c:v>
                </c:pt>
                <c:pt idx="9">
                  <c:v>17</c:v>
                </c:pt>
              </c:numCache>
            </c:numRef>
          </c:val>
        </c:ser>
        <c:gapWidth val="150"/>
        <c:overlap val="0"/>
        <c:axId val="4236254"/>
        <c:axId val="91182883"/>
      </c:barChart>
      <c:catAx>
        <c:axId val="423625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182883"/>
        <c:crosses val="autoZero"/>
        <c:auto val="1"/>
        <c:lblAlgn val="ctr"/>
        <c:lblOffset val="100"/>
        <c:noMultiLvlLbl val="0"/>
      </c:catAx>
      <c:valAx>
        <c:axId val="9118288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Jobs Added (thousands)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3625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Annual Pay Growth: Job-Stayers vs. Job-Changers</a:t>
            </a:r>
          </a:p>
        </c:rich>
      </c:tx>
      <c:overlay val="0"/>
      <c:spPr>
        <a:noFill/>
        <a:ln w="0">
          <a:noFill/>
        </a:ln>
      </c:spPr>
    </c:title>
    <c:autoTitleDeleted val="0"/>
    <c:plotArea>
      <c:barChart>
        <c:barDir val="col"/>
        <c:grouping val="clustered"/>
        <c:varyColors val="0"/>
        <c:ser>
          <c:idx val="0"/>
          <c:order val="0"/>
          <c:tx>
            <c:strRef>
              <c:f>'Pay Growth'!B4</c:f>
              <c:strCache>
                <c:ptCount val="1"/>
                <c:pt idx="0">
                  <c:v>Job-Stayers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'Pay Growth'!$A$5:$A$8</c:f>
              <c:strCache>
                <c:ptCount val="4"/>
                <c:pt idx="0">
                  <c:v>2026-04</c:v>
                </c:pt>
                <c:pt idx="1">
                  <c:v>2026-05</c:v>
                </c:pt>
                <c:pt idx="2">
                  <c:v>2026-06</c:v>
                </c:pt>
                <c:pt idx="3">
                  <c:v>2026-07</c:v>
                </c:pt>
              </c:strCache>
            </c:strRef>
          </c:cat>
          <c:val>
            <c:numRef>
              <c:f>'Pay Growth'!$B$5:$B$8</c:f>
              <c:numCache>
                <c:formatCode>General</c:formatCode>
                <c:ptCount val="4"/>
                <c:pt idx="0">
                  <c:v>4.4</c:v>
                </c:pt>
                <c:pt idx="1">
                  <c:v>4.4</c:v>
                </c:pt>
                <c:pt idx="2">
                  <c:v>4.4</c:v>
                </c:pt>
                <c:pt idx="3">
                  <c:v>4.4</c:v>
                </c:pt>
              </c:numCache>
            </c:numRef>
          </c:val>
        </c:ser>
        <c:ser>
          <c:idx val="1"/>
          <c:order val="1"/>
          <c:tx>
            <c:strRef>
              <c:f>'Pay Growth'!C4</c:f>
              <c:strCache>
                <c:ptCount val="1"/>
                <c:pt idx="0">
                  <c:v>Job-Changers (%)</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'Pay Growth'!$A$5:$A$8</c:f>
              <c:strCache>
                <c:ptCount val="4"/>
                <c:pt idx="0">
                  <c:v>2026-04</c:v>
                </c:pt>
                <c:pt idx="1">
                  <c:v>2026-05</c:v>
                </c:pt>
                <c:pt idx="2">
                  <c:v>2026-06</c:v>
                </c:pt>
                <c:pt idx="3">
                  <c:v>2026-07</c:v>
                </c:pt>
              </c:strCache>
            </c:strRef>
          </c:cat>
          <c:val>
            <c:numRef>
              <c:f>'Pay Growth'!$C$5:$C$8</c:f>
              <c:numCache>
                <c:formatCode>General</c:formatCode>
                <c:ptCount val="4"/>
                <c:pt idx="0">
                  <c:v>6.6</c:v>
                </c:pt>
                <c:pt idx="1">
                  <c:v>6.5</c:v>
                </c:pt>
                <c:pt idx="2">
                  <c:v>6.6</c:v>
                </c:pt>
                <c:pt idx="3">
                  <c:v>7</c:v>
                </c:pt>
              </c:numCache>
            </c:numRef>
          </c:val>
        </c:ser>
        <c:gapWidth val="150"/>
        <c:overlap val="0"/>
        <c:axId val="14246438"/>
        <c:axId val="49318985"/>
      </c:barChart>
      <c:catAx>
        <c:axId val="1424643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318985"/>
        <c:crosses val="autoZero"/>
        <c:auto val="1"/>
        <c:lblAlgn val="ctr"/>
        <c:lblOffset val="100"/>
        <c:noMultiLvlLbl val="0"/>
      </c:catAx>
      <c:valAx>
        <c:axId val="4931898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Annual Pay Growth (%)</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24643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2</xdr:row>
      <xdr:rowOff>131040</xdr:rowOff>
    </xdr:from>
    <xdr:to>
      <xdr:col>10</xdr:col>
      <xdr:colOff>446760</xdr:colOff>
      <xdr:row>19</xdr:row>
      <xdr:rowOff>132120</xdr:rowOff>
    </xdr:to>
    <xdr:graphicFrame>
      <xdr:nvGraphicFramePr>
        <xdr:cNvPr id="0" name="Chart 1"/>
        <xdr:cNvGraphicFramePr/>
      </xdr:nvGraphicFramePr>
      <xdr:xfrm>
        <a:off x="4088160" y="57168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20</xdr:row>
      <xdr:rowOff>131040</xdr:rowOff>
    </xdr:from>
    <xdr:to>
      <xdr:col>10</xdr:col>
      <xdr:colOff>446760</xdr:colOff>
      <xdr:row>39</xdr:row>
      <xdr:rowOff>111240</xdr:rowOff>
    </xdr:to>
    <xdr:graphicFrame>
      <xdr:nvGraphicFramePr>
        <xdr:cNvPr id="1" name="Chart 2"/>
        <xdr:cNvGraphicFramePr/>
      </xdr:nvGraphicFramePr>
      <xdr:xfrm>
        <a:off x="4088160" y="4000680"/>
        <a:ext cx="575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131040</xdr:rowOff>
    </xdr:from>
    <xdr:to>
      <xdr:col>13</xdr:col>
      <xdr:colOff>256320</xdr:colOff>
      <xdr:row>19</xdr:row>
      <xdr:rowOff>132120</xdr:rowOff>
    </xdr:to>
    <xdr:graphicFrame>
      <xdr:nvGraphicFramePr>
        <xdr:cNvPr id="2" name="Chart 1"/>
        <xdr:cNvGraphicFramePr/>
      </xdr:nvGraphicFramePr>
      <xdr:xfrm>
        <a:off x="4981680" y="57168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SectorData" displayName="SectorData" ref="A1:D41" headerRowCount="1" totalsRowCount="0" totalsRowShown="0">
  <autoFilter ref="A1:D41"/>
  <tableColumns count="4">
    <tableColumn id="1" name="Month"/>
    <tableColumn id="2" name="Sector"/>
    <tableColumn id="3" name="Sector Group"/>
    <tableColumn id="4" name="Jobs Added (thousand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3.75" hidden="false" customHeight="true" outlineLevel="0" collapsed="false">
      <c r="A5" s="4" t="s">
        <v>3</v>
      </c>
    </row>
    <row r="7" customFormat="false" ht="15" hidden="false" customHeight="false" outlineLevel="0" collapsed="false">
      <c r="A7" s="3" t="s">
        <v>4</v>
      </c>
    </row>
    <row r="8" customFormat="false" ht="33.75" hidden="false" customHeight="true" outlineLevel="0" collapsed="false">
      <c r="A8" s="4" t="s">
        <v>5</v>
      </c>
    </row>
    <row r="10" customFormat="false" ht="15" hidden="false" customHeight="false" outlineLevel="0" collapsed="false">
      <c r="A10" s="3" t="s">
        <v>6</v>
      </c>
    </row>
    <row r="11" customFormat="false" ht="33.75" hidden="false" customHeight="true" outlineLevel="0" collapsed="false">
      <c r="A11" s="4" t="s">
        <v>7</v>
      </c>
    </row>
    <row r="13" customFormat="false" ht="15" hidden="false" customHeight="false" outlineLevel="0" collapsed="false">
      <c r="A13" s="3" t="s">
        <v>8</v>
      </c>
    </row>
    <row r="14" customFormat="false" ht="33.75" hidden="false" customHeight="true" outlineLevel="0" collapsed="false">
      <c r="A14" s="4"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18"/>
    <col collapsed="false" customWidth="true" hidden="false" outlineLevel="0" max="4" min="4" style="0" width="20"/>
  </cols>
  <sheetData>
    <row r="1" customFormat="false" ht="15" hidden="false" customHeight="false" outlineLevel="0" collapsed="false">
      <c r="A1" s="5" t="s">
        <v>10</v>
      </c>
      <c r="B1" s="5" t="s">
        <v>11</v>
      </c>
      <c r="C1" s="5" t="s">
        <v>12</v>
      </c>
      <c r="D1" s="5" t="s">
        <v>13</v>
      </c>
    </row>
    <row r="2" customFormat="false" ht="15" hidden="false" customHeight="false" outlineLevel="0" collapsed="false">
      <c r="A2" s="6" t="s">
        <v>14</v>
      </c>
      <c r="B2" s="6" t="s">
        <v>15</v>
      </c>
      <c r="C2" s="6" t="s">
        <v>16</v>
      </c>
      <c r="D2" s="6" t="n">
        <v>3</v>
      </c>
    </row>
    <row r="3" customFormat="false" ht="15" hidden="false" customHeight="false" outlineLevel="0" collapsed="false">
      <c r="A3" s="6" t="s">
        <v>14</v>
      </c>
      <c r="B3" s="6" t="s">
        <v>17</v>
      </c>
      <c r="C3" s="6" t="s">
        <v>16</v>
      </c>
      <c r="D3" s="6" t="n">
        <v>10</v>
      </c>
    </row>
    <row r="4" customFormat="false" ht="15" hidden="false" customHeight="false" outlineLevel="0" collapsed="false">
      <c r="A4" s="6" t="s">
        <v>14</v>
      </c>
      <c r="B4" s="6" t="s">
        <v>18</v>
      </c>
      <c r="C4" s="6" t="s">
        <v>16</v>
      </c>
      <c r="D4" s="6" t="n">
        <v>2</v>
      </c>
    </row>
    <row r="5" customFormat="false" ht="15" hidden="false" customHeight="false" outlineLevel="0" collapsed="false">
      <c r="A5" s="6" t="s">
        <v>14</v>
      </c>
      <c r="B5" s="6" t="s">
        <v>19</v>
      </c>
      <c r="C5" s="6" t="s">
        <v>20</v>
      </c>
      <c r="D5" s="6" t="n">
        <v>25</v>
      </c>
    </row>
    <row r="6" customFormat="false" ht="15" hidden="false" customHeight="false" outlineLevel="0" collapsed="false">
      <c r="A6" s="6" t="s">
        <v>14</v>
      </c>
      <c r="B6" s="6" t="s">
        <v>21</v>
      </c>
      <c r="C6" s="6" t="s">
        <v>20</v>
      </c>
      <c r="D6" s="6" t="n">
        <v>4</v>
      </c>
    </row>
    <row r="7" customFormat="false" ht="15" hidden="false" customHeight="false" outlineLevel="0" collapsed="false">
      <c r="A7" s="6" t="s">
        <v>14</v>
      </c>
      <c r="B7" s="6" t="s">
        <v>22</v>
      </c>
      <c r="C7" s="6" t="s">
        <v>20</v>
      </c>
      <c r="D7" s="6" t="n">
        <v>9</v>
      </c>
    </row>
    <row r="8" customFormat="false" ht="15" hidden="false" customHeight="false" outlineLevel="0" collapsed="false">
      <c r="A8" s="6" t="s">
        <v>14</v>
      </c>
      <c r="B8" s="6" t="s">
        <v>23</v>
      </c>
      <c r="C8" s="6" t="s">
        <v>20</v>
      </c>
      <c r="D8" s="6" t="n">
        <v>-8</v>
      </c>
    </row>
    <row r="9" customFormat="false" ht="15" hidden="false" customHeight="false" outlineLevel="0" collapsed="false">
      <c r="A9" s="6" t="s">
        <v>14</v>
      </c>
      <c r="B9" s="6" t="s">
        <v>24</v>
      </c>
      <c r="C9" s="6" t="s">
        <v>20</v>
      </c>
      <c r="D9" s="6" t="n">
        <v>61</v>
      </c>
    </row>
    <row r="10" customFormat="false" ht="15" hidden="false" customHeight="false" outlineLevel="0" collapsed="false">
      <c r="A10" s="6" t="s">
        <v>14</v>
      </c>
      <c r="B10" s="6" t="s">
        <v>25</v>
      </c>
      <c r="C10" s="6" t="s">
        <v>20</v>
      </c>
      <c r="D10" s="6" t="n">
        <v>4</v>
      </c>
    </row>
    <row r="11" customFormat="false" ht="15" hidden="false" customHeight="false" outlineLevel="0" collapsed="false">
      <c r="A11" s="6" t="s">
        <v>14</v>
      </c>
      <c r="B11" s="6" t="s">
        <v>26</v>
      </c>
      <c r="C11" s="6" t="s">
        <v>20</v>
      </c>
      <c r="D11" s="6" t="n">
        <v>-1</v>
      </c>
    </row>
    <row r="12" customFormat="false" ht="15" hidden="false" customHeight="false" outlineLevel="0" collapsed="false">
      <c r="A12" s="6" t="s">
        <v>27</v>
      </c>
      <c r="B12" s="6" t="s">
        <v>15</v>
      </c>
      <c r="C12" s="6" t="s">
        <v>16</v>
      </c>
      <c r="D12" s="6" t="n">
        <v>-3</v>
      </c>
    </row>
    <row r="13" customFormat="false" ht="15" hidden="false" customHeight="false" outlineLevel="0" collapsed="false">
      <c r="A13" s="6" t="s">
        <v>27</v>
      </c>
      <c r="B13" s="6" t="s">
        <v>17</v>
      </c>
      <c r="C13" s="6" t="s">
        <v>16</v>
      </c>
      <c r="D13" s="6" t="n">
        <v>8</v>
      </c>
    </row>
    <row r="14" customFormat="false" ht="15" hidden="false" customHeight="false" outlineLevel="0" collapsed="false">
      <c r="A14" s="6" t="s">
        <v>27</v>
      </c>
      <c r="B14" s="6" t="s">
        <v>18</v>
      </c>
      <c r="C14" s="6" t="s">
        <v>16</v>
      </c>
      <c r="D14" s="6" t="n">
        <v>3</v>
      </c>
    </row>
    <row r="15" customFormat="false" ht="15" hidden="false" customHeight="false" outlineLevel="0" collapsed="false">
      <c r="A15" s="6" t="s">
        <v>27</v>
      </c>
      <c r="B15" s="6" t="s">
        <v>19</v>
      </c>
      <c r="C15" s="6" t="s">
        <v>20</v>
      </c>
      <c r="D15" s="6" t="n">
        <v>36</v>
      </c>
    </row>
    <row r="16" customFormat="false" ht="15" hidden="false" customHeight="false" outlineLevel="0" collapsed="false">
      <c r="A16" s="6" t="s">
        <v>27</v>
      </c>
      <c r="B16" s="6" t="s">
        <v>21</v>
      </c>
      <c r="C16" s="6" t="s">
        <v>20</v>
      </c>
      <c r="D16" s="6" t="n">
        <v>-9</v>
      </c>
    </row>
    <row r="17" customFormat="false" ht="15" hidden="false" customHeight="false" outlineLevel="0" collapsed="false">
      <c r="A17" s="6" t="s">
        <v>27</v>
      </c>
      <c r="B17" s="6" t="s">
        <v>22</v>
      </c>
      <c r="C17" s="6" t="s">
        <v>20</v>
      </c>
      <c r="D17" s="6" t="n">
        <v>7</v>
      </c>
    </row>
    <row r="18" customFormat="false" ht="15" hidden="false" customHeight="false" outlineLevel="0" collapsed="false">
      <c r="A18" s="6" t="s">
        <v>27</v>
      </c>
      <c r="B18" s="6" t="s">
        <v>23</v>
      </c>
      <c r="C18" s="6" t="s">
        <v>20</v>
      </c>
      <c r="D18" s="6" t="n">
        <v>11</v>
      </c>
    </row>
    <row r="19" customFormat="false" ht="15" hidden="false" customHeight="false" outlineLevel="0" collapsed="false">
      <c r="A19" s="6" t="s">
        <v>27</v>
      </c>
      <c r="B19" s="6" t="s">
        <v>24</v>
      </c>
      <c r="C19" s="6" t="s">
        <v>20</v>
      </c>
      <c r="D19" s="6" t="n">
        <v>57</v>
      </c>
    </row>
    <row r="20" customFormat="false" ht="15" hidden="false" customHeight="false" outlineLevel="0" collapsed="false">
      <c r="A20" s="6" t="s">
        <v>27</v>
      </c>
      <c r="B20" s="6" t="s">
        <v>25</v>
      </c>
      <c r="C20" s="6" t="s">
        <v>20</v>
      </c>
      <c r="D20" s="6" t="n">
        <v>8</v>
      </c>
    </row>
    <row r="21" customFormat="false" ht="15" hidden="false" customHeight="false" outlineLevel="0" collapsed="false">
      <c r="A21" s="6" t="s">
        <v>27</v>
      </c>
      <c r="B21" s="6" t="s">
        <v>26</v>
      </c>
      <c r="C21" s="6" t="s">
        <v>20</v>
      </c>
      <c r="D21" s="6" t="n">
        <v>4</v>
      </c>
    </row>
    <row r="22" customFormat="false" ht="15" hidden="false" customHeight="false" outlineLevel="0" collapsed="false">
      <c r="A22" s="6" t="s">
        <v>28</v>
      </c>
      <c r="B22" s="6" t="s">
        <v>15</v>
      </c>
      <c r="C22" s="6" t="s">
        <v>16</v>
      </c>
      <c r="D22" s="6" t="n">
        <v>-5</v>
      </c>
    </row>
    <row r="23" customFormat="false" ht="15" hidden="false" customHeight="false" outlineLevel="0" collapsed="false">
      <c r="A23" s="6" t="s">
        <v>28</v>
      </c>
      <c r="B23" s="6" t="s">
        <v>17</v>
      </c>
      <c r="C23" s="6" t="s">
        <v>16</v>
      </c>
      <c r="D23" s="6" t="n">
        <v>2</v>
      </c>
    </row>
    <row r="24" customFormat="false" ht="15" hidden="false" customHeight="false" outlineLevel="0" collapsed="false">
      <c r="A24" s="6" t="s">
        <v>28</v>
      </c>
      <c r="B24" s="6" t="s">
        <v>18</v>
      </c>
      <c r="C24" s="6" t="s">
        <v>16</v>
      </c>
      <c r="D24" s="6" t="n">
        <v>5</v>
      </c>
    </row>
    <row r="25" customFormat="false" ht="15" hidden="false" customHeight="false" outlineLevel="0" collapsed="false">
      <c r="A25" s="6" t="s">
        <v>28</v>
      </c>
      <c r="B25" s="6" t="s">
        <v>19</v>
      </c>
      <c r="C25" s="6" t="s">
        <v>20</v>
      </c>
      <c r="D25" s="6" t="n">
        <v>15</v>
      </c>
    </row>
    <row r="26" customFormat="false" ht="15" hidden="false" customHeight="false" outlineLevel="0" collapsed="false">
      <c r="A26" s="6" t="s">
        <v>28</v>
      </c>
      <c r="B26" s="6" t="s">
        <v>21</v>
      </c>
      <c r="C26" s="6" t="s">
        <v>20</v>
      </c>
      <c r="D26" s="6" t="n">
        <v>7</v>
      </c>
    </row>
    <row r="27" customFormat="false" ht="15" hidden="false" customHeight="false" outlineLevel="0" collapsed="false">
      <c r="A27" s="6" t="s">
        <v>28</v>
      </c>
      <c r="B27" s="6" t="s">
        <v>22</v>
      </c>
      <c r="C27" s="6" t="s">
        <v>20</v>
      </c>
      <c r="D27" s="6" t="n">
        <v>14</v>
      </c>
    </row>
    <row r="28" customFormat="false" ht="15" hidden="false" customHeight="false" outlineLevel="0" collapsed="false">
      <c r="A28" s="6" t="s">
        <v>28</v>
      </c>
      <c r="B28" s="6" t="s">
        <v>23</v>
      </c>
      <c r="C28" s="6" t="s">
        <v>20</v>
      </c>
      <c r="D28" s="6" t="n">
        <v>2</v>
      </c>
    </row>
    <row r="29" customFormat="false" ht="15" hidden="false" customHeight="false" outlineLevel="0" collapsed="false">
      <c r="A29" s="6" t="s">
        <v>28</v>
      </c>
      <c r="B29" s="6" t="s">
        <v>24</v>
      </c>
      <c r="C29" s="6" t="s">
        <v>20</v>
      </c>
      <c r="D29" s="6" t="n">
        <v>48</v>
      </c>
    </row>
    <row r="30" customFormat="false" ht="15" hidden="false" customHeight="false" outlineLevel="0" collapsed="false">
      <c r="A30" s="6" t="s">
        <v>28</v>
      </c>
      <c r="B30" s="6" t="s">
        <v>25</v>
      </c>
      <c r="C30" s="6" t="s">
        <v>20</v>
      </c>
      <c r="D30" s="6" t="n">
        <v>2</v>
      </c>
    </row>
    <row r="31" customFormat="false" ht="15" hidden="false" customHeight="false" outlineLevel="0" collapsed="false">
      <c r="A31" s="6" t="s">
        <v>28</v>
      </c>
      <c r="B31" s="6" t="s">
        <v>26</v>
      </c>
      <c r="C31" s="6" t="s">
        <v>20</v>
      </c>
      <c r="D31" s="6" t="n">
        <v>8</v>
      </c>
    </row>
    <row r="32" customFormat="false" ht="15" hidden="false" customHeight="false" outlineLevel="0" collapsed="false">
      <c r="A32" s="6" t="s">
        <v>29</v>
      </c>
      <c r="B32" s="6" t="s">
        <v>15</v>
      </c>
      <c r="C32" s="6" t="s">
        <v>16</v>
      </c>
      <c r="D32" s="6" t="n">
        <v>-6</v>
      </c>
    </row>
    <row r="33" customFormat="false" ht="15" hidden="false" customHeight="false" outlineLevel="0" collapsed="false">
      <c r="A33" s="6" t="s">
        <v>29</v>
      </c>
      <c r="B33" s="6" t="s">
        <v>17</v>
      </c>
      <c r="C33" s="6" t="s">
        <v>16</v>
      </c>
      <c r="D33" s="6" t="n">
        <v>1</v>
      </c>
    </row>
    <row r="34" customFormat="false" ht="15" hidden="false" customHeight="false" outlineLevel="0" collapsed="false">
      <c r="A34" s="6" t="s">
        <v>29</v>
      </c>
      <c r="B34" s="6" t="s">
        <v>18</v>
      </c>
      <c r="C34" s="6" t="s">
        <v>16</v>
      </c>
      <c r="D34" s="6" t="n">
        <v>2</v>
      </c>
    </row>
    <row r="35" customFormat="false" ht="15" hidden="false" customHeight="false" outlineLevel="0" collapsed="false">
      <c r="A35" s="6" t="s">
        <v>29</v>
      </c>
      <c r="B35" s="6" t="s">
        <v>19</v>
      </c>
      <c r="C35" s="6" t="s">
        <v>20</v>
      </c>
      <c r="D35" s="6" t="n">
        <v>-8</v>
      </c>
    </row>
    <row r="36" customFormat="false" ht="15" hidden="false" customHeight="false" outlineLevel="0" collapsed="false">
      <c r="A36" s="6" t="s">
        <v>29</v>
      </c>
      <c r="B36" s="6" t="s">
        <v>21</v>
      </c>
      <c r="C36" s="6" t="s">
        <v>20</v>
      </c>
      <c r="D36" s="6" t="n">
        <v>5</v>
      </c>
    </row>
    <row r="37" customFormat="false" ht="15" hidden="false" customHeight="false" outlineLevel="0" collapsed="false">
      <c r="A37" s="6" t="s">
        <v>29</v>
      </c>
      <c r="B37" s="6" t="s">
        <v>22</v>
      </c>
      <c r="C37" s="6" t="s">
        <v>20</v>
      </c>
      <c r="D37" s="6" t="n">
        <v>10</v>
      </c>
    </row>
    <row r="38" customFormat="false" ht="15" hidden="false" customHeight="false" outlineLevel="0" collapsed="false">
      <c r="A38" s="6" t="s">
        <v>29</v>
      </c>
      <c r="B38" s="6" t="s">
        <v>23</v>
      </c>
      <c r="C38" s="6" t="s">
        <v>20</v>
      </c>
      <c r="D38" s="6" t="n">
        <v>9</v>
      </c>
    </row>
    <row r="39" customFormat="false" ht="15" hidden="false" customHeight="false" outlineLevel="0" collapsed="false">
      <c r="A39" s="6" t="s">
        <v>29</v>
      </c>
      <c r="B39" s="6" t="s">
        <v>24</v>
      </c>
      <c r="C39" s="6" t="s">
        <v>20</v>
      </c>
      <c r="D39" s="6" t="n">
        <v>36</v>
      </c>
    </row>
    <row r="40" customFormat="false" ht="15" hidden="false" customHeight="false" outlineLevel="0" collapsed="false">
      <c r="A40" s="7" t="s">
        <v>30</v>
      </c>
      <c r="B40" s="6" t="s">
        <v>25</v>
      </c>
      <c r="C40" s="6" t="s">
        <v>20</v>
      </c>
      <c r="D40" s="6" t="n">
        <v>-11</v>
      </c>
    </row>
    <row r="41" customFormat="false" ht="15" hidden="false" customHeight="false" outlineLevel="0" collapsed="false">
      <c r="A41" s="6" t="s">
        <v>29</v>
      </c>
      <c r="B41" s="6" t="s">
        <v>26</v>
      </c>
      <c r="C41" s="6" t="s">
        <v>20</v>
      </c>
      <c r="D41" s="6" t="n">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16"/>
  </cols>
  <sheetData>
    <row r="1" customFormat="false" ht="19.7" hidden="false" customHeight="false" outlineLevel="0" collapsed="false">
      <c r="A1" s="1" t="s">
        <v>31</v>
      </c>
    </row>
    <row r="2" customFormat="false" ht="15" hidden="false" customHeight="false" outlineLevel="0" collapsed="false">
      <c r="A2" s="8" t="s">
        <v>32</v>
      </c>
    </row>
    <row r="4" customFormat="false" ht="15" hidden="false" customHeight="false" outlineLevel="0" collapsed="false">
      <c r="A4" s="9" t="s">
        <v>33</v>
      </c>
    </row>
    <row r="5" customFormat="false" ht="15" hidden="false" customHeight="false" outlineLevel="0" collapsed="false">
      <c r="A5" s="5" t="s">
        <v>10</v>
      </c>
      <c r="B5" s="5" t="s">
        <v>34</v>
      </c>
    </row>
    <row r="6" customFormat="false" ht="15" hidden="false" customHeight="false" outlineLevel="0" collapsed="false">
      <c r="A6" s="6" t="s">
        <v>14</v>
      </c>
      <c r="B6" s="6" t="n">
        <f aca="false">SUMIF('Sector Data'!A:A,A6,'Sector Data'!D:D)</f>
        <v>109</v>
      </c>
    </row>
    <row r="7" customFormat="false" ht="15" hidden="false" customHeight="false" outlineLevel="0" collapsed="false">
      <c r="A7" s="6" t="s">
        <v>27</v>
      </c>
      <c r="B7" s="6" t="n">
        <f aca="false">SUMIF('Sector Data'!A:A,A7,'Sector Data'!D:D)</f>
        <v>122</v>
      </c>
    </row>
    <row r="8" customFormat="false" ht="15" hidden="false" customHeight="false" outlineLevel="0" collapsed="false">
      <c r="A8" s="6" t="s">
        <v>28</v>
      </c>
      <c r="B8" s="6" t="n">
        <f aca="false">SUMIF('Sector Data'!A:A,A8,'Sector Data'!D:D)</f>
        <v>98</v>
      </c>
    </row>
    <row r="9" customFormat="false" ht="15" hidden="false" customHeight="false" outlineLevel="0" collapsed="false">
      <c r="A9" s="6" t="s">
        <v>29</v>
      </c>
      <c r="B9" s="6" t="n">
        <f aca="false">SUMIF('Sector Data'!A:A,A9,'Sector Data'!D:D)</f>
        <v>55</v>
      </c>
    </row>
    <row r="12" customFormat="false" ht="15" hidden="false" customHeight="false" outlineLevel="0" collapsed="false">
      <c r="A12" s="9" t="s">
        <v>35</v>
      </c>
    </row>
    <row r="13" customFormat="false" ht="15" hidden="false" customHeight="false" outlineLevel="0" collapsed="false">
      <c r="A13" s="5" t="s">
        <v>11</v>
      </c>
      <c r="B13" s="5" t="s">
        <v>36</v>
      </c>
    </row>
    <row r="14" customFormat="false" ht="15" hidden="false" customHeight="false" outlineLevel="0" collapsed="false">
      <c r="A14" s="6" t="s">
        <v>15</v>
      </c>
      <c r="B14" s="6" t="n">
        <f aca="false">SUMIF('Sector Data'!B:B,A14,'Sector Data'!D:D)</f>
        <v>-11</v>
      </c>
    </row>
    <row r="15" customFormat="false" ht="15" hidden="false" customHeight="false" outlineLevel="0" collapsed="false">
      <c r="A15" s="6" t="s">
        <v>17</v>
      </c>
      <c r="B15" s="6" t="n">
        <f aca="false">SUMIF('Sector Data'!B:B,A15,'Sector Data'!D:D)</f>
        <v>21</v>
      </c>
    </row>
    <row r="16" customFormat="false" ht="15" hidden="false" customHeight="false" outlineLevel="0" collapsed="false">
      <c r="A16" s="6" t="s">
        <v>18</v>
      </c>
      <c r="B16" s="6" t="n">
        <f aca="false">SUMIF('Sector Data'!B:B,A16,'Sector Data'!D:D)</f>
        <v>12</v>
      </c>
    </row>
    <row r="17" customFormat="false" ht="15" hidden="false" customHeight="false" outlineLevel="0" collapsed="false">
      <c r="A17" s="6" t="s">
        <v>19</v>
      </c>
      <c r="B17" s="6" t="n">
        <f aca="false">SUMIF('Sector Data'!B:B,A17,'Sector Data'!D:D)</f>
        <v>68</v>
      </c>
    </row>
    <row r="18" customFormat="false" ht="15" hidden="false" customHeight="false" outlineLevel="0" collapsed="false">
      <c r="A18" s="6" t="s">
        <v>21</v>
      </c>
      <c r="B18" s="6" t="n">
        <f aca="false">SUMIF('Sector Data'!B:B,A18,'Sector Data'!D:D)</f>
        <v>7</v>
      </c>
    </row>
    <row r="19" customFormat="false" ht="15" hidden="false" customHeight="false" outlineLevel="0" collapsed="false">
      <c r="A19" s="6" t="s">
        <v>22</v>
      </c>
      <c r="B19" s="6" t="n">
        <f aca="false">SUMIF('Sector Data'!B:B,A19,'Sector Data'!D:D)</f>
        <v>40</v>
      </c>
    </row>
    <row r="20" customFormat="false" ht="15" hidden="false" customHeight="false" outlineLevel="0" collapsed="false">
      <c r="A20" s="6" t="s">
        <v>23</v>
      </c>
      <c r="B20" s="6" t="n">
        <f aca="false">SUMIF('Sector Data'!B:B,A20,'Sector Data'!D:D)</f>
        <v>14</v>
      </c>
    </row>
    <row r="21" customFormat="false" ht="15" hidden="false" customHeight="false" outlineLevel="0" collapsed="false">
      <c r="A21" s="6" t="s">
        <v>24</v>
      </c>
      <c r="B21" s="6" t="n">
        <f aca="false">SUMIF('Sector Data'!B:B,A21,'Sector Data'!D:D)</f>
        <v>202</v>
      </c>
    </row>
    <row r="22" customFormat="false" ht="15" hidden="false" customHeight="false" outlineLevel="0" collapsed="false">
      <c r="A22" s="6" t="s">
        <v>25</v>
      </c>
      <c r="B22" s="6" t="n">
        <f aca="false">SUMIF('Sector Data'!B:B,A22,'Sector Data'!D:D)</f>
        <v>3</v>
      </c>
    </row>
    <row r="23" customFormat="false" ht="15" hidden="false" customHeight="false" outlineLevel="0" collapsed="false">
      <c r="A23" s="6" t="s">
        <v>26</v>
      </c>
      <c r="B23" s="6" t="n">
        <f aca="false">SUMIF('Sector Data'!B:B,A23,'Sector Data'!D:D)</f>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22"/>
  </cols>
  <sheetData>
    <row r="1" customFormat="false" ht="19.7" hidden="false" customHeight="false" outlineLevel="0" collapsed="false">
      <c r="A1" s="1" t="s">
        <v>37</v>
      </c>
    </row>
    <row r="2" customFormat="false" ht="15" hidden="false" customHeight="false" outlineLevel="0" collapsed="false">
      <c r="A2" s="8" t="s">
        <v>38</v>
      </c>
    </row>
    <row r="4" customFormat="false" ht="15" hidden="false" customHeight="false" outlineLevel="0" collapsed="false">
      <c r="A4" s="5" t="s">
        <v>10</v>
      </c>
      <c r="B4" s="5" t="s">
        <v>39</v>
      </c>
      <c r="C4" s="5" t="s">
        <v>40</v>
      </c>
    </row>
    <row r="5" customFormat="false" ht="15" hidden="false" customHeight="false" outlineLevel="0" collapsed="false">
      <c r="A5" s="6" t="s">
        <v>14</v>
      </c>
      <c r="B5" s="6" t="n">
        <v>4.4</v>
      </c>
      <c r="C5" s="6" t="n">
        <v>6.6</v>
      </c>
    </row>
    <row r="6" customFormat="false" ht="15" hidden="false" customHeight="false" outlineLevel="0" collapsed="false">
      <c r="A6" s="6" t="s">
        <v>27</v>
      </c>
      <c r="B6" s="6" t="n">
        <v>4.4</v>
      </c>
      <c r="C6" s="6" t="n">
        <v>6.5</v>
      </c>
    </row>
    <row r="7" customFormat="false" ht="15" hidden="false" customHeight="false" outlineLevel="0" collapsed="false">
      <c r="A7" s="6" t="s">
        <v>28</v>
      </c>
      <c r="B7" s="6" t="n">
        <v>4.4</v>
      </c>
      <c r="C7" s="6" t="n">
        <v>6.6</v>
      </c>
    </row>
    <row r="8" customFormat="false" ht="15" hidden="false" customHeight="false" outlineLevel="0" collapsed="false">
      <c r="A8" s="6" t="s">
        <v>29</v>
      </c>
      <c r="B8" s="6" t="n">
        <v>4.4</v>
      </c>
      <c r="C8" s="6" t="n">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9.7" hidden="false" customHeight="false" outlineLevel="0" collapsed="false">
      <c r="A1" s="1" t="s">
        <v>41</v>
      </c>
    </row>
    <row r="3" customFormat="false" ht="33.75" hidden="false" customHeight="true" outlineLevel="0" collapsed="false">
      <c r="A3" s="4" t="s">
        <v>42</v>
      </c>
    </row>
    <row r="4" customFormat="false" ht="7.5" hidden="false" customHeight="true" outlineLevel="0" collapsed="false">
      <c r="A4" s="4"/>
    </row>
    <row r="5" customFormat="false" ht="33.75" hidden="false" customHeight="true" outlineLevel="0" collapsed="false">
      <c r="A5" s="4" t="s">
        <v>43</v>
      </c>
    </row>
    <row r="6" customFormat="false" ht="7.5" hidden="false" customHeight="true" outlineLevel="0" collapsed="false">
      <c r="A6" s="4"/>
    </row>
    <row r="7" customFormat="false" ht="33.75" hidden="false" customHeight="true" outlineLevel="0" collapsed="false">
      <c r="A7" s="4" t="s">
        <v>44</v>
      </c>
    </row>
    <row r="8" customFormat="false" ht="7.5" hidden="false" customHeight="true" outlineLevel="0" collapsed="false">
      <c r="A8" s="4"/>
    </row>
    <row r="9" customFormat="false" ht="33.75" hidden="false" customHeight="true" outlineLevel="0" collapsed="false">
      <c r="A9" s="4" t="s">
        <v>45</v>
      </c>
    </row>
    <row r="10" customFormat="false" ht="7.5" hidden="false" customHeight="true" outlineLevel="0" collapsed="false">
      <c r="A10" s="4"/>
    </row>
    <row r="11" customFormat="false" ht="33.75" hidden="false" customHeight="true" outlineLevel="0" collapsed="false">
      <c r="A11" s="4" t="s">
        <v>46</v>
      </c>
    </row>
    <row r="12" customFormat="false" ht="7.5" hidden="false" customHeight="true" outlineLevel="0" collapsed="false">
      <c r="A12" s="4"/>
    </row>
    <row r="13" customFormat="false" ht="33.75" hidden="false" customHeight="true" outlineLevel="0" collapsed="false">
      <c r="A13" s="4"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2026-08-28T07:55:29Z</dcterms:created>
  <dc:creator>openpyxl</dc:creator>
  <dc:description/>
  <dc:language>en-US</dc:language>
  <cp:lastModifiedBy/>
  <dcterms:modified xsi:type="dcterms:W3CDTF">2026-08-28T07:55:31Z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