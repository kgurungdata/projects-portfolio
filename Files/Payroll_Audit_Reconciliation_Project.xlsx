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ayroll Register" sheetId="2" state="visible" r:id="rId4"/>
    <sheet name="Audit &amp; Reconciliation" sheetId="3" state="visible" r:id="rId5"/>
    <sheet name="Weekly Audit Summary" sheetId="4" state="visible" r:id="rId6"/>
    <sheet name="Findin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<sst xmlns="http://schemas.openxmlformats.org/spreadsheetml/2006/main" count="1284" uniqueCount="175">
  <si>
    <t xml:space="preserve">Payroll Audit &amp; Reconciliation Project</t>
  </si>
  <si>
    <t xml:space="preserve">A self-directed practice project modeled on weekly payroll auditing, reconciliation, and off-cycle payment review responsibilities.</t>
  </si>
  <si>
    <t xml:space="preserve">Purpose</t>
  </si>
  <si>
    <t xml:space="preserve">Practice the kind of weekly payroll audit a Payroll Analyst runs: reconciling recorded gross pay against hours and rate, flagging possible duplicate payments, and reviewing off-cycle payments (reversals, overpayments, duplicate employee merges).</t>
  </si>
  <si>
    <t xml:space="preserve">Data</t>
  </si>
  <si>
    <t xml:space="preserve">All employee names, IDs, and pay data in this workbook are simulated for practice purposes. It does not represent real payroll data from any company.</t>
  </si>
  <si>
    <t xml:space="preserve">Sheets</t>
  </si>
  <si>
    <t xml:space="preserve">Payroll Register (raw pay records, intentionally includes seeded errors) | Audit &amp; Reconciliation (live-formula checks that flag those errors) | Weekly Audit Summary (rollup reporting + chart) | Findings (written summary).</t>
  </si>
  <si>
    <t xml:space="preserve">Skills demonstrated</t>
  </si>
  <si>
    <t xml:space="preserve">Payroll auditing logic (recalculating and reconciling pay), duplicate-payment detection, Excel formulas (SUMIFS, COUNTIFS, IF, ROUND), conditional formatting, and clear written audit findings.</t>
  </si>
  <si>
    <t xml:space="preserve">Employee ID</t>
  </si>
  <si>
    <t xml:space="preserve">Employee Name</t>
  </si>
  <si>
    <t xml:space="preserve">Department</t>
  </si>
  <si>
    <t xml:space="preserve">Pay Period</t>
  </si>
  <si>
    <t xml:space="preserve">Payment Type</t>
  </si>
  <si>
    <t xml:space="preserve">Hours Worked</t>
  </si>
  <si>
    <t xml:space="preserve">Hourly Rate ($)</t>
  </si>
  <si>
    <t xml:space="preserve">Recorded Gross Pay ($)</t>
  </si>
  <si>
    <t xml:space="preserve">Deductions ($)</t>
  </si>
  <si>
    <t xml:space="preserve">Recorded Net Pay ($)</t>
  </si>
  <si>
    <t xml:space="preserve">E1000</t>
  </si>
  <si>
    <t xml:space="preserve">Employee 001</t>
  </si>
  <si>
    <t xml:space="preserve">Restaurant Ops - Region A</t>
  </si>
  <si>
    <t xml:space="preserve">2026-06-01 to 2026-06-07</t>
  </si>
  <si>
    <t xml:space="preserve">Regular</t>
  </si>
  <si>
    <t xml:space="preserve">E1001</t>
  </si>
  <si>
    <t xml:space="preserve">Employee 002</t>
  </si>
  <si>
    <t xml:space="preserve">Restaurant Ops - Region B</t>
  </si>
  <si>
    <t xml:space="preserve">E1002</t>
  </si>
  <si>
    <t xml:space="preserve">Employee 003</t>
  </si>
  <si>
    <t xml:space="preserve">Restaurant Ops - Region C</t>
  </si>
  <si>
    <t xml:space="preserve">E1003</t>
  </si>
  <si>
    <t xml:space="preserve">Employee 004</t>
  </si>
  <si>
    <t xml:space="preserve">International</t>
  </si>
  <si>
    <t xml:space="preserve">E1004</t>
  </si>
  <si>
    <t xml:space="preserve">Employee 005</t>
  </si>
  <si>
    <t xml:space="preserve">Support Center</t>
  </si>
  <si>
    <t xml:space="preserve">E1005</t>
  </si>
  <si>
    <t xml:space="preserve">Employee 006</t>
  </si>
  <si>
    <t xml:space="preserve">E1006</t>
  </si>
  <si>
    <t xml:space="preserve">Employee 007</t>
  </si>
  <si>
    <t xml:space="preserve">E1007</t>
  </si>
  <si>
    <t xml:space="preserve">Employee 008</t>
  </si>
  <si>
    <t xml:space="preserve">E1008</t>
  </si>
  <si>
    <t xml:space="preserve">Employee 009</t>
  </si>
  <si>
    <t xml:space="preserve">E1009</t>
  </si>
  <si>
    <t xml:space="preserve">Employee 010</t>
  </si>
  <si>
    <t xml:space="preserve">E1010</t>
  </si>
  <si>
    <t xml:space="preserve">Employee 011</t>
  </si>
  <si>
    <t xml:space="preserve">E1011</t>
  </si>
  <si>
    <t xml:space="preserve">Employee 012</t>
  </si>
  <si>
    <t xml:space="preserve">E1012</t>
  </si>
  <si>
    <t xml:space="preserve">Employee 013</t>
  </si>
  <si>
    <t xml:space="preserve">E1013</t>
  </si>
  <si>
    <t xml:space="preserve">Employee 014</t>
  </si>
  <si>
    <t xml:space="preserve">E1014</t>
  </si>
  <si>
    <t xml:space="preserve">Employee 015</t>
  </si>
  <si>
    <t xml:space="preserve">E1015</t>
  </si>
  <si>
    <t xml:space="preserve">Employee 016</t>
  </si>
  <si>
    <t xml:space="preserve">E1016</t>
  </si>
  <si>
    <t xml:space="preserve">Employee 017</t>
  </si>
  <si>
    <t xml:space="preserve">E1017</t>
  </si>
  <si>
    <t xml:space="preserve">Employee 018</t>
  </si>
  <si>
    <t xml:space="preserve">E1018</t>
  </si>
  <si>
    <t xml:space="preserve">Employee 019</t>
  </si>
  <si>
    <t xml:space="preserve">E1019</t>
  </si>
  <si>
    <t xml:space="preserve">Employee 020</t>
  </si>
  <si>
    <t xml:space="preserve">E1020</t>
  </si>
  <si>
    <t xml:space="preserve">Employee 021</t>
  </si>
  <si>
    <t xml:space="preserve">E1021</t>
  </si>
  <si>
    <t xml:space="preserve">Employee 022</t>
  </si>
  <si>
    <t xml:space="preserve">E1022</t>
  </si>
  <si>
    <t xml:space="preserve">Employee 023</t>
  </si>
  <si>
    <t xml:space="preserve">E1023</t>
  </si>
  <si>
    <t xml:space="preserve">Employee 024</t>
  </si>
  <si>
    <t xml:space="preserve">E1024</t>
  </si>
  <si>
    <t xml:space="preserve">Employee 025</t>
  </si>
  <si>
    <t xml:space="preserve">E1025</t>
  </si>
  <si>
    <t xml:space="preserve">Employee 026</t>
  </si>
  <si>
    <t xml:space="preserve">E1026</t>
  </si>
  <si>
    <t xml:space="preserve">Employee 027</t>
  </si>
  <si>
    <t xml:space="preserve">E1027</t>
  </si>
  <si>
    <t xml:space="preserve">Employee 028</t>
  </si>
  <si>
    <t xml:space="preserve">E1028</t>
  </si>
  <si>
    <t xml:space="preserve">Employee 029</t>
  </si>
  <si>
    <t xml:space="preserve">E1029</t>
  </si>
  <si>
    <t xml:space="preserve">Employee 030</t>
  </si>
  <si>
    <t xml:space="preserve">E1030</t>
  </si>
  <si>
    <t xml:space="preserve">Employee 031</t>
  </si>
  <si>
    <t xml:space="preserve">E1031</t>
  </si>
  <si>
    <t xml:space="preserve">Employee 032</t>
  </si>
  <si>
    <t xml:space="preserve">E1032</t>
  </si>
  <si>
    <t xml:space="preserve">Employee 033</t>
  </si>
  <si>
    <t xml:space="preserve">E1033</t>
  </si>
  <si>
    <t xml:space="preserve">Employee 034</t>
  </si>
  <si>
    <t xml:space="preserve">E1034</t>
  </si>
  <si>
    <t xml:space="preserve">Employee 035</t>
  </si>
  <si>
    <t xml:space="preserve">E1035</t>
  </si>
  <si>
    <t xml:space="preserve">Employee 036</t>
  </si>
  <si>
    <t xml:space="preserve">E1036</t>
  </si>
  <si>
    <t xml:space="preserve">Employee 037</t>
  </si>
  <si>
    <t xml:space="preserve">E1037</t>
  </si>
  <si>
    <t xml:space="preserve">Employee 038</t>
  </si>
  <si>
    <t xml:space="preserve">E1038</t>
  </si>
  <si>
    <t xml:space="preserve">Employee 039</t>
  </si>
  <si>
    <t xml:space="preserve">E1039</t>
  </si>
  <si>
    <t xml:space="preserve">Employee 040</t>
  </si>
  <si>
    <t xml:space="preserve">E1040</t>
  </si>
  <si>
    <t xml:space="preserve">Employee 041</t>
  </si>
  <si>
    <t xml:space="preserve">E1041</t>
  </si>
  <si>
    <t xml:space="preserve">Employee 042</t>
  </si>
  <si>
    <t xml:space="preserve">E1042</t>
  </si>
  <si>
    <t xml:space="preserve">Employee 043</t>
  </si>
  <si>
    <t xml:space="preserve">E1043</t>
  </si>
  <si>
    <t xml:space="preserve">Employee 044</t>
  </si>
  <si>
    <t xml:space="preserve">E1044</t>
  </si>
  <si>
    <t xml:space="preserve">Employee 045</t>
  </si>
  <si>
    <t xml:space="preserve">E1045</t>
  </si>
  <si>
    <t xml:space="preserve">Employee 046</t>
  </si>
  <si>
    <t xml:space="preserve">E1046</t>
  </si>
  <si>
    <t xml:space="preserve">Employee 047</t>
  </si>
  <si>
    <t xml:space="preserve">E1047</t>
  </si>
  <si>
    <t xml:space="preserve">Employee 048</t>
  </si>
  <si>
    <t xml:space="preserve">E1048</t>
  </si>
  <si>
    <t xml:space="preserve">Employee 049</t>
  </si>
  <si>
    <t xml:space="preserve">E1049</t>
  </si>
  <si>
    <t xml:space="preserve">Employee 050</t>
  </si>
  <si>
    <t xml:space="preserve">E1050</t>
  </si>
  <si>
    <t xml:space="preserve">Employee 051</t>
  </si>
  <si>
    <t xml:space="preserve">E1051</t>
  </si>
  <si>
    <t xml:space="preserve">Employee 052</t>
  </si>
  <si>
    <t xml:space="preserve">E1052</t>
  </si>
  <si>
    <t xml:space="preserve">Employee 053</t>
  </si>
  <si>
    <t xml:space="preserve">E1053</t>
  </si>
  <si>
    <t xml:space="preserve">Employee 054</t>
  </si>
  <si>
    <t xml:space="preserve">E1054</t>
  </si>
  <si>
    <t xml:space="preserve">Employee 055</t>
  </si>
  <si>
    <t xml:space="preserve">E1055</t>
  </si>
  <si>
    <t xml:space="preserve">Employee 056</t>
  </si>
  <si>
    <t xml:space="preserve">E1056</t>
  </si>
  <si>
    <t xml:space="preserve">Employee 057</t>
  </si>
  <si>
    <t xml:space="preserve">E1057</t>
  </si>
  <si>
    <t xml:space="preserve">Employee 058</t>
  </si>
  <si>
    <t xml:space="preserve">E1058</t>
  </si>
  <si>
    <t xml:space="preserve">Employee 059</t>
  </si>
  <si>
    <t xml:space="preserve">E1059</t>
  </si>
  <si>
    <t xml:space="preserve">Employee 060</t>
  </si>
  <si>
    <t xml:space="preserve">2026-06-08 to 2026-06-14</t>
  </si>
  <si>
    <t xml:space="preserve">2026-06-15 to 2026-06-21</t>
  </si>
  <si>
    <t xml:space="preserve">2026-06-22 to 2026-06-28</t>
  </si>
  <si>
    <t xml:space="preserve">Off-Cycle - Reversal</t>
  </si>
  <si>
    <t xml:space="preserve">Off-Cycle - Overpayment Correction</t>
  </si>
  <si>
    <t xml:space="preserve">Off-Cycle - Duplicate Employee Merge</t>
  </si>
  <si>
    <t xml:space="preserve">Recalculated Gross Pay ($)</t>
  </si>
  <si>
    <t xml:space="preserve">Variance ($)</t>
  </si>
  <si>
    <t xml:space="preserve">Duplicate Payment Check</t>
  </si>
  <si>
    <t xml:space="preserve">Audit Flag</t>
  </si>
  <si>
    <t xml:space="preserve">Weekly Audit Summary</t>
  </si>
  <si>
    <t xml:space="preserve">Live-formula rollup of the Audit &amp; Reconciliation tab, by pay period and flag type.</t>
  </si>
  <si>
    <t xml:space="preserve">Audit Results by Pay Period</t>
  </si>
  <si>
    <t xml:space="preserve">Total Records</t>
  </si>
  <si>
    <t xml:space="preserve">Clear</t>
  </si>
  <si>
    <t xml:space="preserve">Flagged</t>
  </si>
  <si>
    <t xml:space="preserve">Flag Rate (%)</t>
  </si>
  <si>
    <t xml:space="preserve">Flag Type Breakdown</t>
  </si>
  <si>
    <t xml:space="preserve">Count</t>
  </si>
  <si>
    <t xml:space="preserve">Duplicate Payment</t>
  </si>
  <si>
    <t xml:space="preserve">Gross Pay Discrepancy</t>
  </si>
  <si>
    <t xml:space="preserve">Off-Cycle - See Register</t>
  </si>
  <si>
    <t xml:space="preserve">Audit Findings &amp; Summary</t>
  </si>
  <si>
    <t xml:space="preserve">This week's audit reconciled recorded gross pay against hours worked x hourly rate for every regular payment, and cross-checked for duplicate employee/pay-period combinations.</t>
  </si>
  <si>
    <t xml:space="preserve">Duplicate payments: 2 instances were flagged where the same employee appears twice for the same pay period - the kind of error that, left uncaught, results in a real overpayment and requires a reversal or off-cycle correction. Both were caught by the duplicate-check formula rather than manual review.</t>
  </si>
  <si>
    <t xml:space="preserve">Gross pay discrepancies: 4 records showed a mismatch between recorded gross pay and the recalculated value (hours x rate), ranging from a $20 shortfall to a $62.50 overpayment. These are the kind of data-entry-level errors a weekly audit is meant to catch before they reach net pay.</t>
  </si>
  <si>
    <t xml:space="preserve">Off-cycle payments: 4 off-cycle records were included this period - one reversal, two overpayment corrections, and one duplicate employee merge - consistent with the kind of complex off-cycle processing described in a Payroll Analyst role. These are flagged separately in the audit rather than mixed in with regular-pay discrepancies, since they follow a different review process.</t>
  </si>
  <si>
    <t xml:space="preserve">Recommendation: of the 4 pay periods audited, flag rates were highest in weeks with multiple off-cycle entries, suggesting off-cycle processing periods may benefit from an extra reconciliation pass before the audit report goes out.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</si>
</sst>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22222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0"/>
      <color rgb="FF222222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A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6DA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DE2E1"/>
      <rgbColor rgb="FFCCFFFF"/>
      <rgbColor rgb="FF660066"/>
      <rgbColor rgb="FFFF8080"/>
      <rgbColor rgb="FF0066CC"/>
      <rgbColor rgb="FFC6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Flagged Records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'Weekly Audit Summary'!B13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Audit Summary'!$A$14:$A$17</c:f>
              <c:strCache>
                <c:ptCount val="4"/>
                <c:pt idx="0">
                  <c:v>Clear</c:v>
                </c:pt>
                <c:pt idx="1">
                  <c:v>Duplicate Payment</c:v>
                </c:pt>
                <c:pt idx="2">
                  <c:v>Gross Pay Discrepancy</c:v>
                </c:pt>
                <c:pt idx="3">
                  <c:v>Off-Cycle - See Register</c:v>
                </c:pt>
              </c:strCache>
            </c:strRef>
          </c:cat>
          <c:val>
            <c:numRef>
              <c:f>'Weekly Audit Summary'!$B$14:$B$17</c:f>
              <c:numCache>
                <c:formatCode>General</c:formatCode>
                <c:ptCount val="4"/>
                <c:pt idx="0">
                  <c:v>230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85130075"/>
        <c:axId val="24761762"/>
      </c:barChart>
      <c:catAx>
        <c:axId val="85130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61762"/>
        <c:crosses val="autoZero"/>
        <c:auto val="1"/>
        <c:lblAlgn val="ctr"/>
        <c:lblOffset val="100"/>
        <c:noMultiLvlLbl val="0"/>
      </c:catAx>
      <c:valAx>
        <c:axId val="24761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30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10</xdr:col>
      <xdr:colOff>446760</xdr:colOff>
      <xdr:row>19</xdr:row>
      <xdr:rowOff>132120</xdr:rowOff>
    </xdr:to>
    <xdr:graphicFrame>
      <xdr:nvGraphicFramePr>
        <xdr:cNvPr id="0" name="Chart 1"/>
        <xdr:cNvGraphicFramePr/>
      </xdr:nvGraphicFramePr>
      <xdr:xfrm>
        <a:off x="408816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ayrollRegister" displayName="PayrollRegister" ref="A1:J247" headerRowCount="1" totalsRowCount="0" totalsRowShown="0">
  <autoFilter ref="A1:J247"/>
  <tableColumns count="10">
    <tableColumn id="1" name="Employee ID"/>
    <tableColumn id="2" name="Employee Name"/>
    <tableColumn id="3" name="Department"/>
    <tableColumn id="4" name="Pay Period"/>
    <tableColumn id="5" name="Payment Type"/>
    <tableColumn id="6" name="Hours Worked"/>
    <tableColumn id="7" name="Hourly Rate ($)"/>
    <tableColumn id="8" name="Recorded Gross Pay ($)"/>
    <tableColumn id="9" name="Deductions ($)"/>
    <tableColumn id="10" name="Recorded Net Pay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3.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33.75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33.75" hidden="false" customHeight="true" outlineLevel="0" collapsed="false">
      <c r="A11" s="4" t="s">
        <v>7</v>
      </c>
    </row>
    <row r="13" customFormat="false" ht="15" hidden="false" customHeight="false" outlineLevel="0" collapsed="false">
      <c r="A13" s="3" t="s">
        <v>8</v>
      </c>
    </row>
    <row r="14" customFormat="false" ht="33.75" hidden="false" customHeight="true" outlineLevel="0" collapsed="false">
      <c r="A14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26"/>
    <col collapsed="false" customWidth="true" hidden="false" outlineLevel="0" max="7" min="6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23.8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</row>
    <row r="2" customFormat="false" ht="15" hidden="false" customHeight="fals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n">
        <v>29.05</v>
      </c>
      <c r="G2" s="7" t="n">
        <v>20.96</v>
      </c>
      <c r="H2" s="7" t="n">
        <v>608.89</v>
      </c>
      <c r="I2" s="7" t="n">
        <v>129.34</v>
      </c>
      <c r="J2" s="7" t="n">
        <v>479.55</v>
      </c>
    </row>
    <row r="3" customFormat="false" ht="15" hidden="false" customHeight="false" outlineLevel="0" collapsed="false">
      <c r="A3" s="6" t="s">
        <v>25</v>
      </c>
      <c r="B3" s="6" t="s">
        <v>26</v>
      </c>
      <c r="C3" s="6" t="s">
        <v>27</v>
      </c>
      <c r="D3" s="6" t="s">
        <v>23</v>
      </c>
      <c r="E3" s="6" t="s">
        <v>24</v>
      </c>
      <c r="F3" s="6" t="n">
        <v>29.31</v>
      </c>
      <c r="G3" s="7" t="n">
        <v>20.13</v>
      </c>
      <c r="H3" s="7" t="n">
        <v>590.01</v>
      </c>
      <c r="I3" s="7" t="n">
        <v>105.46</v>
      </c>
      <c r="J3" s="7" t="n">
        <v>484.55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23</v>
      </c>
      <c r="E4" s="6" t="s">
        <v>24</v>
      </c>
      <c r="F4" s="6" t="n">
        <v>23.69</v>
      </c>
      <c r="G4" s="7" t="n">
        <v>20.19</v>
      </c>
      <c r="H4" s="7" t="n">
        <v>478.3</v>
      </c>
      <c r="I4" s="7" t="n">
        <v>87.52</v>
      </c>
      <c r="J4" s="7" t="n">
        <v>390.78</v>
      </c>
    </row>
    <row r="5" customFormat="false" ht="15" hidden="false" customHeight="false" outlineLevel="0" collapsed="false">
      <c r="A5" s="6" t="s">
        <v>31</v>
      </c>
      <c r="B5" s="6" t="s">
        <v>32</v>
      </c>
      <c r="C5" s="6" t="s">
        <v>33</v>
      </c>
      <c r="D5" s="6" t="s">
        <v>23</v>
      </c>
      <c r="E5" s="6" t="s">
        <v>24</v>
      </c>
      <c r="F5" s="6" t="n">
        <v>35.86</v>
      </c>
      <c r="G5" s="7" t="n">
        <v>13.51</v>
      </c>
      <c r="H5" s="7" t="n">
        <v>484.47</v>
      </c>
      <c r="I5" s="7" t="n">
        <v>72.84</v>
      </c>
      <c r="J5" s="7" t="n">
        <v>411.63</v>
      </c>
    </row>
    <row r="6" customFormat="false" ht="15" hidden="false" customHeight="false" outlineLevel="0" collapsed="false">
      <c r="A6" s="6" t="s">
        <v>34</v>
      </c>
      <c r="B6" s="6" t="s">
        <v>35</v>
      </c>
      <c r="C6" s="6" t="s">
        <v>36</v>
      </c>
      <c r="D6" s="6" t="s">
        <v>23</v>
      </c>
      <c r="E6" s="6" t="s">
        <v>24</v>
      </c>
      <c r="F6" s="6" t="n">
        <v>21.81</v>
      </c>
      <c r="G6" s="7" t="n">
        <v>24.95</v>
      </c>
      <c r="H6" s="7" t="n">
        <v>544.16</v>
      </c>
      <c r="I6" s="7" t="n">
        <v>103.03</v>
      </c>
      <c r="J6" s="7" t="n">
        <v>441.13</v>
      </c>
    </row>
    <row r="7" customFormat="false" ht="15" hidden="false" customHeight="false" outlineLevel="0" collapsed="false">
      <c r="A7" s="6" t="s">
        <v>37</v>
      </c>
      <c r="B7" s="6" t="s">
        <v>38</v>
      </c>
      <c r="C7" s="6" t="s">
        <v>22</v>
      </c>
      <c r="D7" s="6" t="s">
        <v>23</v>
      </c>
      <c r="E7" s="6" t="s">
        <v>24</v>
      </c>
      <c r="F7" s="6" t="n">
        <v>20.84</v>
      </c>
      <c r="G7" s="7" t="n">
        <v>27.72</v>
      </c>
      <c r="H7" s="7" t="n">
        <v>577.68</v>
      </c>
      <c r="I7" s="7" t="n">
        <v>125.05</v>
      </c>
      <c r="J7" s="7" t="n">
        <v>452.63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s">
        <v>27</v>
      </c>
      <c r="D8" s="6" t="s">
        <v>23</v>
      </c>
      <c r="E8" s="6" t="s">
        <v>24</v>
      </c>
      <c r="F8" s="6" t="n">
        <v>33.08</v>
      </c>
      <c r="G8" s="7" t="n">
        <v>21.85</v>
      </c>
      <c r="H8" s="7" t="n">
        <v>722.8</v>
      </c>
      <c r="I8" s="7" t="n">
        <v>98.12</v>
      </c>
      <c r="J8" s="7" t="n">
        <v>624.68</v>
      </c>
    </row>
    <row r="9" customFormat="false" ht="15" hidden="false" customHeight="false" outlineLevel="0" collapsed="false">
      <c r="A9" s="6" t="s">
        <v>37</v>
      </c>
      <c r="B9" s="6" t="s">
        <v>38</v>
      </c>
      <c r="C9" s="6" t="s">
        <v>22</v>
      </c>
      <c r="D9" s="6" t="s">
        <v>23</v>
      </c>
      <c r="E9" s="6" t="s">
        <v>24</v>
      </c>
      <c r="F9" s="6" t="n">
        <v>20.84</v>
      </c>
      <c r="G9" s="7" t="n">
        <v>27.72</v>
      </c>
      <c r="H9" s="7" t="n">
        <v>577.68</v>
      </c>
      <c r="I9" s="7" t="n">
        <v>125.05</v>
      </c>
      <c r="J9" s="7" t="n">
        <v>452.63</v>
      </c>
    </row>
    <row r="10" customFormat="false" ht="15" hidden="false" customHeight="false" outlineLevel="0" collapsed="false">
      <c r="A10" s="6" t="s">
        <v>41</v>
      </c>
      <c r="B10" s="6" t="s">
        <v>42</v>
      </c>
      <c r="C10" s="6" t="s">
        <v>30</v>
      </c>
      <c r="D10" s="6" t="s">
        <v>23</v>
      </c>
      <c r="E10" s="6" t="s">
        <v>24</v>
      </c>
      <c r="F10" s="6" t="n">
        <v>20.3</v>
      </c>
      <c r="G10" s="7" t="n">
        <v>20.45</v>
      </c>
      <c r="H10" s="7" t="n">
        <v>415.13</v>
      </c>
      <c r="I10" s="7" t="n">
        <v>52.29</v>
      </c>
      <c r="J10" s="7" t="n">
        <v>362.84</v>
      </c>
    </row>
    <row r="11" customFormat="false" ht="15" hidden="false" customHeight="false" outlineLevel="0" collapsed="false">
      <c r="A11" s="6" t="s">
        <v>43</v>
      </c>
      <c r="B11" s="6" t="s">
        <v>44</v>
      </c>
      <c r="C11" s="6" t="s">
        <v>33</v>
      </c>
      <c r="D11" s="6" t="s">
        <v>23</v>
      </c>
      <c r="E11" s="6" t="s">
        <v>24</v>
      </c>
      <c r="F11" s="6" t="n">
        <v>23.8</v>
      </c>
      <c r="G11" s="7" t="n">
        <v>15.87</v>
      </c>
      <c r="H11" s="7" t="n">
        <v>377.71</v>
      </c>
      <c r="I11" s="7" t="n">
        <v>46.46</v>
      </c>
      <c r="J11" s="7" t="n">
        <v>331.25</v>
      </c>
    </row>
    <row r="12" customFormat="false" ht="15" hidden="false" customHeight="false" outlineLevel="0" collapsed="false">
      <c r="A12" s="6" t="s">
        <v>45</v>
      </c>
      <c r="B12" s="6" t="s">
        <v>46</v>
      </c>
      <c r="C12" s="6" t="s">
        <v>36</v>
      </c>
      <c r="D12" s="6" t="s">
        <v>23</v>
      </c>
      <c r="E12" s="6" t="s">
        <v>24</v>
      </c>
      <c r="F12" s="6" t="n">
        <v>29.28</v>
      </c>
      <c r="G12" s="7" t="n">
        <v>19.05</v>
      </c>
      <c r="H12" s="7" t="n">
        <v>557.78</v>
      </c>
      <c r="I12" s="7" t="n">
        <v>113.92</v>
      </c>
      <c r="J12" s="7" t="n">
        <v>443.86</v>
      </c>
    </row>
    <row r="13" customFormat="false" ht="15" hidden="false" customHeight="false" outlineLevel="0" collapsed="false">
      <c r="A13" s="6" t="s">
        <v>47</v>
      </c>
      <c r="B13" s="6" t="s">
        <v>48</v>
      </c>
      <c r="C13" s="6" t="s">
        <v>22</v>
      </c>
      <c r="D13" s="6" t="s">
        <v>23</v>
      </c>
      <c r="E13" s="6" t="s">
        <v>24</v>
      </c>
      <c r="F13" s="6" t="n">
        <v>30.38</v>
      </c>
      <c r="G13" s="7" t="n">
        <v>22.24</v>
      </c>
      <c r="H13" s="7" t="n">
        <v>675.65</v>
      </c>
      <c r="I13" s="7" t="n">
        <v>114.85</v>
      </c>
      <c r="J13" s="7" t="n">
        <v>560.8</v>
      </c>
    </row>
    <row r="14" customFormat="false" ht="15" hidden="false" customHeight="false" outlineLevel="0" collapsed="false">
      <c r="A14" s="6" t="s">
        <v>49</v>
      </c>
      <c r="B14" s="6" t="s">
        <v>50</v>
      </c>
      <c r="C14" s="6" t="s">
        <v>27</v>
      </c>
      <c r="D14" s="6" t="s">
        <v>23</v>
      </c>
      <c r="E14" s="6" t="s">
        <v>24</v>
      </c>
      <c r="F14" s="6" t="n">
        <v>33.25</v>
      </c>
      <c r="G14" s="7" t="n">
        <v>19.32</v>
      </c>
      <c r="H14" s="7" t="n">
        <v>672.39</v>
      </c>
      <c r="I14" s="7" t="n">
        <v>94.96</v>
      </c>
      <c r="J14" s="7" t="n">
        <v>547.43</v>
      </c>
    </row>
    <row r="15" customFormat="false" ht="15" hidden="false" customHeight="false" outlineLevel="0" collapsed="false">
      <c r="A15" s="6" t="s">
        <v>51</v>
      </c>
      <c r="B15" s="6" t="s">
        <v>52</v>
      </c>
      <c r="C15" s="6" t="s">
        <v>30</v>
      </c>
      <c r="D15" s="6" t="s">
        <v>23</v>
      </c>
      <c r="E15" s="6" t="s">
        <v>24</v>
      </c>
      <c r="F15" s="6" t="n">
        <v>39.95</v>
      </c>
      <c r="G15" s="7" t="n">
        <v>27.93</v>
      </c>
      <c r="H15" s="7" t="n">
        <v>1115.8</v>
      </c>
      <c r="I15" s="7" t="n">
        <v>227.65</v>
      </c>
      <c r="J15" s="7" t="n">
        <v>888.15</v>
      </c>
    </row>
    <row r="16" customFormat="false" ht="15" hidden="false" customHeight="false" outlineLevel="0" collapsed="false">
      <c r="A16" s="6" t="s">
        <v>53</v>
      </c>
      <c r="B16" s="6" t="s">
        <v>54</v>
      </c>
      <c r="C16" s="6" t="s">
        <v>33</v>
      </c>
      <c r="D16" s="6" t="s">
        <v>23</v>
      </c>
      <c r="E16" s="6" t="s">
        <v>24</v>
      </c>
      <c r="F16" s="6" t="n">
        <v>34.16</v>
      </c>
      <c r="G16" s="7" t="n">
        <v>17.04</v>
      </c>
      <c r="H16" s="7" t="n">
        <v>582.09</v>
      </c>
      <c r="I16" s="7" t="n">
        <v>83.22</v>
      </c>
      <c r="J16" s="7" t="n">
        <v>498.87</v>
      </c>
    </row>
    <row r="17" customFormat="false" ht="15" hidden="false" customHeight="false" outlineLevel="0" collapsed="false">
      <c r="A17" s="6" t="s">
        <v>55</v>
      </c>
      <c r="B17" s="6" t="s">
        <v>56</v>
      </c>
      <c r="C17" s="6" t="s">
        <v>36</v>
      </c>
      <c r="D17" s="6" t="s">
        <v>23</v>
      </c>
      <c r="E17" s="6" t="s">
        <v>24</v>
      </c>
      <c r="F17" s="6" t="n">
        <v>25.78</v>
      </c>
      <c r="G17" s="7" t="n">
        <v>13.12</v>
      </c>
      <c r="H17" s="7" t="n">
        <v>338.23</v>
      </c>
      <c r="I17" s="7" t="n">
        <v>66.51</v>
      </c>
      <c r="J17" s="7" t="n">
        <v>271.72</v>
      </c>
    </row>
    <row r="18" customFormat="false" ht="15" hidden="false" customHeight="false" outlineLevel="0" collapsed="false">
      <c r="A18" s="6" t="s">
        <v>57</v>
      </c>
      <c r="B18" s="6" t="s">
        <v>58</v>
      </c>
      <c r="C18" s="6" t="s">
        <v>22</v>
      </c>
      <c r="D18" s="6" t="s">
        <v>23</v>
      </c>
      <c r="E18" s="6" t="s">
        <v>24</v>
      </c>
      <c r="F18" s="6" t="n">
        <v>28.01</v>
      </c>
      <c r="G18" s="7" t="n">
        <v>25.55</v>
      </c>
      <c r="H18" s="7" t="n">
        <v>715.66</v>
      </c>
      <c r="I18" s="7" t="n">
        <v>113.54</v>
      </c>
      <c r="J18" s="7" t="n">
        <v>602.12</v>
      </c>
    </row>
    <row r="19" customFormat="false" ht="15" hidden="false" customHeight="false" outlineLevel="0" collapsed="false">
      <c r="A19" s="6" t="s">
        <v>59</v>
      </c>
      <c r="B19" s="6" t="s">
        <v>60</v>
      </c>
      <c r="C19" s="6" t="s">
        <v>27</v>
      </c>
      <c r="D19" s="6" t="s">
        <v>23</v>
      </c>
      <c r="E19" s="6" t="s">
        <v>24</v>
      </c>
      <c r="F19" s="6" t="n">
        <v>39.16</v>
      </c>
      <c r="G19" s="7" t="n">
        <v>25.56</v>
      </c>
      <c r="H19" s="7" t="n">
        <v>1000.93</v>
      </c>
      <c r="I19" s="7" t="n">
        <v>120.17</v>
      </c>
      <c r="J19" s="7" t="n">
        <v>880.76</v>
      </c>
    </row>
    <row r="20" customFormat="false" ht="15" hidden="false" customHeight="false" outlineLevel="0" collapsed="false">
      <c r="A20" s="6" t="s">
        <v>61</v>
      </c>
      <c r="B20" s="6" t="s">
        <v>62</v>
      </c>
      <c r="C20" s="6" t="s">
        <v>30</v>
      </c>
      <c r="D20" s="6" t="s">
        <v>23</v>
      </c>
      <c r="E20" s="6" t="s">
        <v>24</v>
      </c>
      <c r="F20" s="6" t="n">
        <v>24.19</v>
      </c>
      <c r="G20" s="7" t="n">
        <v>26.56</v>
      </c>
      <c r="H20" s="7" t="n">
        <v>642.49</v>
      </c>
      <c r="I20" s="7" t="n">
        <v>107.3</v>
      </c>
      <c r="J20" s="7" t="n">
        <v>535.19</v>
      </c>
    </row>
    <row r="21" customFormat="false" ht="15" hidden="false" customHeight="false" outlineLevel="0" collapsed="false">
      <c r="A21" s="6" t="s">
        <v>63</v>
      </c>
      <c r="B21" s="6" t="s">
        <v>64</v>
      </c>
      <c r="C21" s="6" t="s">
        <v>33</v>
      </c>
      <c r="D21" s="6" t="s">
        <v>23</v>
      </c>
      <c r="E21" s="6" t="s">
        <v>24</v>
      </c>
      <c r="F21" s="6" t="n">
        <v>39.61</v>
      </c>
      <c r="G21" s="7" t="n">
        <v>18.36</v>
      </c>
      <c r="H21" s="7" t="n">
        <v>727.24</v>
      </c>
      <c r="I21" s="7" t="n">
        <v>92.58</v>
      </c>
      <c r="J21" s="7" t="n">
        <v>634.66</v>
      </c>
    </row>
    <row r="22" customFormat="false" ht="15" hidden="false" customHeight="false" outlineLevel="0" collapsed="false">
      <c r="A22" s="6" t="s">
        <v>65</v>
      </c>
      <c r="B22" s="6" t="s">
        <v>66</v>
      </c>
      <c r="C22" s="6" t="s">
        <v>36</v>
      </c>
      <c r="D22" s="6" t="s">
        <v>23</v>
      </c>
      <c r="E22" s="6" t="s">
        <v>24</v>
      </c>
      <c r="F22" s="6" t="n">
        <v>32.59</v>
      </c>
      <c r="G22" s="7" t="n">
        <v>24.46</v>
      </c>
      <c r="H22" s="7" t="n">
        <v>797.15</v>
      </c>
      <c r="I22" s="7" t="n">
        <v>117.16</v>
      </c>
      <c r="J22" s="7" t="n">
        <v>679.99</v>
      </c>
    </row>
    <row r="23" customFormat="false" ht="15" hidden="false" customHeight="false" outlineLevel="0" collapsed="false">
      <c r="A23" s="6" t="s">
        <v>67</v>
      </c>
      <c r="B23" s="6" t="s">
        <v>68</v>
      </c>
      <c r="C23" s="6" t="s">
        <v>22</v>
      </c>
      <c r="D23" s="6" t="s">
        <v>23</v>
      </c>
      <c r="E23" s="6" t="s">
        <v>24</v>
      </c>
      <c r="F23" s="6" t="n">
        <v>21.74</v>
      </c>
      <c r="G23" s="7" t="n">
        <v>17.32</v>
      </c>
      <c r="H23" s="7" t="n">
        <v>376.54</v>
      </c>
      <c r="I23" s="7" t="n">
        <v>81.49</v>
      </c>
      <c r="J23" s="7" t="n">
        <v>295.05</v>
      </c>
    </row>
    <row r="24" customFormat="false" ht="15" hidden="false" customHeight="false" outlineLevel="0" collapsed="false">
      <c r="A24" s="6" t="s">
        <v>69</v>
      </c>
      <c r="B24" s="6" t="s">
        <v>70</v>
      </c>
      <c r="C24" s="6" t="s">
        <v>27</v>
      </c>
      <c r="D24" s="6" t="s">
        <v>23</v>
      </c>
      <c r="E24" s="6" t="s">
        <v>24</v>
      </c>
      <c r="F24" s="6" t="n">
        <v>35.16</v>
      </c>
      <c r="G24" s="7" t="n">
        <v>13.89</v>
      </c>
      <c r="H24" s="7" t="n">
        <v>488.37</v>
      </c>
      <c r="I24" s="7" t="n">
        <v>70.64</v>
      </c>
      <c r="J24" s="7" t="n">
        <v>417.73</v>
      </c>
    </row>
    <row r="25" customFormat="false" ht="15" hidden="false" customHeight="false" outlineLevel="0" collapsed="false">
      <c r="A25" s="6" t="s">
        <v>71</v>
      </c>
      <c r="B25" s="6" t="s">
        <v>72</v>
      </c>
      <c r="C25" s="6" t="s">
        <v>30</v>
      </c>
      <c r="D25" s="6" t="s">
        <v>23</v>
      </c>
      <c r="E25" s="6" t="s">
        <v>24</v>
      </c>
      <c r="F25" s="6" t="n">
        <v>22.02</v>
      </c>
      <c r="G25" s="7" t="n">
        <v>12.96</v>
      </c>
      <c r="H25" s="7" t="n">
        <v>285.38</v>
      </c>
      <c r="I25" s="7" t="n">
        <v>56.99</v>
      </c>
      <c r="J25" s="7" t="n">
        <v>228.39</v>
      </c>
    </row>
    <row r="26" customFormat="false" ht="15" hidden="false" customHeight="false" outlineLevel="0" collapsed="false">
      <c r="A26" s="6" t="s">
        <v>73</v>
      </c>
      <c r="B26" s="6" t="s">
        <v>74</v>
      </c>
      <c r="C26" s="6" t="s">
        <v>33</v>
      </c>
      <c r="D26" s="6" t="s">
        <v>23</v>
      </c>
      <c r="E26" s="6" t="s">
        <v>24</v>
      </c>
      <c r="F26" s="6" t="n">
        <v>23.55</v>
      </c>
      <c r="G26" s="7" t="n">
        <v>20.95</v>
      </c>
      <c r="H26" s="7" t="n">
        <v>493.37</v>
      </c>
      <c r="I26" s="7" t="n">
        <v>81.28</v>
      </c>
      <c r="J26" s="7" t="n">
        <v>412.09</v>
      </c>
    </row>
    <row r="27" customFormat="false" ht="15" hidden="false" customHeight="false" outlineLevel="0" collapsed="false">
      <c r="A27" s="6" t="s">
        <v>75</v>
      </c>
      <c r="B27" s="6" t="s">
        <v>76</v>
      </c>
      <c r="C27" s="6" t="s">
        <v>36</v>
      </c>
      <c r="D27" s="6" t="s">
        <v>23</v>
      </c>
      <c r="E27" s="6" t="s">
        <v>24</v>
      </c>
      <c r="F27" s="6" t="n">
        <v>23.81</v>
      </c>
      <c r="G27" s="7" t="n">
        <v>23.71</v>
      </c>
      <c r="H27" s="7" t="n">
        <v>564.54</v>
      </c>
      <c r="I27" s="7" t="n">
        <v>75.14</v>
      </c>
      <c r="J27" s="7" t="n">
        <v>489.4</v>
      </c>
    </row>
    <row r="28" customFormat="false" ht="15" hidden="false" customHeight="false" outlineLevel="0" collapsed="false">
      <c r="A28" s="6" t="s">
        <v>77</v>
      </c>
      <c r="B28" s="6" t="s">
        <v>78</v>
      </c>
      <c r="C28" s="6" t="s">
        <v>22</v>
      </c>
      <c r="D28" s="6" t="s">
        <v>23</v>
      </c>
      <c r="E28" s="6" t="s">
        <v>24</v>
      </c>
      <c r="F28" s="6" t="n">
        <v>32.87</v>
      </c>
      <c r="G28" s="7" t="n">
        <v>13.86</v>
      </c>
      <c r="H28" s="7" t="n">
        <v>455.58</v>
      </c>
      <c r="I28" s="7" t="n">
        <v>73.84</v>
      </c>
      <c r="J28" s="7" t="n">
        <v>381.74</v>
      </c>
    </row>
    <row r="29" customFormat="false" ht="15" hidden="false" customHeight="false" outlineLevel="0" collapsed="false">
      <c r="A29" s="6" t="s">
        <v>79</v>
      </c>
      <c r="B29" s="6" t="s">
        <v>80</v>
      </c>
      <c r="C29" s="6" t="s">
        <v>27</v>
      </c>
      <c r="D29" s="6" t="s">
        <v>23</v>
      </c>
      <c r="E29" s="6" t="s">
        <v>24</v>
      </c>
      <c r="F29" s="6" t="n">
        <v>24.26</v>
      </c>
      <c r="G29" s="7" t="n">
        <v>16.32</v>
      </c>
      <c r="H29" s="7" t="n">
        <v>395.92</v>
      </c>
      <c r="I29" s="7" t="n">
        <v>85.95</v>
      </c>
      <c r="J29" s="7" t="n">
        <v>309.97</v>
      </c>
    </row>
    <row r="30" customFormat="false" ht="15" hidden="false" customHeight="false" outlineLevel="0" collapsed="false">
      <c r="A30" s="6" t="s">
        <v>81</v>
      </c>
      <c r="B30" s="6" t="s">
        <v>82</v>
      </c>
      <c r="C30" s="6" t="s">
        <v>30</v>
      </c>
      <c r="D30" s="6" t="s">
        <v>23</v>
      </c>
      <c r="E30" s="6" t="s">
        <v>24</v>
      </c>
      <c r="F30" s="6" t="n">
        <v>36.07</v>
      </c>
      <c r="G30" s="7" t="n">
        <v>16.87</v>
      </c>
      <c r="H30" s="7" t="n">
        <v>608.5</v>
      </c>
      <c r="I30" s="7" t="n">
        <v>126.86</v>
      </c>
      <c r="J30" s="7" t="n">
        <v>481.64</v>
      </c>
    </row>
    <row r="31" customFormat="false" ht="15" hidden="false" customHeight="false" outlineLevel="0" collapsed="false">
      <c r="A31" s="6" t="s">
        <v>83</v>
      </c>
      <c r="B31" s="6" t="s">
        <v>84</v>
      </c>
      <c r="C31" s="6" t="s">
        <v>33</v>
      </c>
      <c r="D31" s="6" t="s">
        <v>23</v>
      </c>
      <c r="E31" s="6" t="s">
        <v>24</v>
      </c>
      <c r="F31" s="6" t="n">
        <v>24.21</v>
      </c>
      <c r="G31" s="7" t="n">
        <v>18.31</v>
      </c>
      <c r="H31" s="7" t="n">
        <v>443.29</v>
      </c>
      <c r="I31" s="7" t="n">
        <v>91.07</v>
      </c>
      <c r="J31" s="7" t="n">
        <v>352.22</v>
      </c>
    </row>
    <row r="32" customFormat="false" ht="15" hidden="false" customHeight="false" outlineLevel="0" collapsed="false">
      <c r="A32" s="6" t="s">
        <v>85</v>
      </c>
      <c r="B32" s="6" t="s">
        <v>86</v>
      </c>
      <c r="C32" s="6" t="s">
        <v>36</v>
      </c>
      <c r="D32" s="6" t="s">
        <v>23</v>
      </c>
      <c r="E32" s="6" t="s">
        <v>24</v>
      </c>
      <c r="F32" s="6" t="n">
        <v>32.84</v>
      </c>
      <c r="G32" s="7" t="n">
        <v>13.61</v>
      </c>
      <c r="H32" s="7" t="n">
        <v>446.95</v>
      </c>
      <c r="I32" s="7" t="n">
        <v>97.85</v>
      </c>
      <c r="J32" s="7" t="n">
        <v>349.1</v>
      </c>
    </row>
    <row r="33" customFormat="false" ht="15" hidden="false" customHeight="false" outlineLevel="0" collapsed="false">
      <c r="A33" s="6" t="s">
        <v>87</v>
      </c>
      <c r="B33" s="6" t="s">
        <v>88</v>
      </c>
      <c r="C33" s="6" t="s">
        <v>22</v>
      </c>
      <c r="D33" s="6" t="s">
        <v>23</v>
      </c>
      <c r="E33" s="6" t="s">
        <v>24</v>
      </c>
      <c r="F33" s="6" t="n">
        <v>24.26</v>
      </c>
      <c r="G33" s="7" t="n">
        <v>16.13</v>
      </c>
      <c r="H33" s="7" t="n">
        <v>391.31</v>
      </c>
      <c r="I33" s="7" t="n">
        <v>77.19</v>
      </c>
      <c r="J33" s="7" t="n">
        <v>314.12</v>
      </c>
    </row>
    <row r="34" customFormat="false" ht="15" hidden="false" customHeight="false" outlineLevel="0" collapsed="false">
      <c r="A34" s="6" t="s">
        <v>89</v>
      </c>
      <c r="B34" s="6" t="s">
        <v>90</v>
      </c>
      <c r="C34" s="6" t="s">
        <v>27</v>
      </c>
      <c r="D34" s="6" t="s">
        <v>23</v>
      </c>
      <c r="E34" s="6" t="s">
        <v>24</v>
      </c>
      <c r="F34" s="6" t="n">
        <v>26.58</v>
      </c>
      <c r="G34" s="7" t="n">
        <v>16.74</v>
      </c>
      <c r="H34" s="7" t="n">
        <v>444.95</v>
      </c>
      <c r="I34" s="7" t="n">
        <v>56.66</v>
      </c>
      <c r="J34" s="7" t="n">
        <v>388.29</v>
      </c>
    </row>
    <row r="35" customFormat="false" ht="15" hidden="false" customHeight="false" outlineLevel="0" collapsed="false">
      <c r="A35" s="6" t="s">
        <v>91</v>
      </c>
      <c r="B35" s="6" t="s">
        <v>92</v>
      </c>
      <c r="C35" s="6" t="s">
        <v>30</v>
      </c>
      <c r="D35" s="6" t="s">
        <v>23</v>
      </c>
      <c r="E35" s="6" t="s">
        <v>24</v>
      </c>
      <c r="F35" s="6" t="n">
        <v>21.8</v>
      </c>
      <c r="G35" s="7" t="n">
        <v>21.32</v>
      </c>
      <c r="H35" s="7" t="n">
        <v>444.78</v>
      </c>
      <c r="I35" s="7" t="n">
        <v>67.07</v>
      </c>
      <c r="J35" s="7" t="n">
        <v>397.71</v>
      </c>
    </row>
    <row r="36" customFormat="false" ht="15" hidden="false" customHeight="false" outlineLevel="0" collapsed="false">
      <c r="A36" s="6" t="s">
        <v>93</v>
      </c>
      <c r="B36" s="6" t="s">
        <v>94</v>
      </c>
      <c r="C36" s="6" t="s">
        <v>33</v>
      </c>
      <c r="D36" s="6" t="s">
        <v>23</v>
      </c>
      <c r="E36" s="6" t="s">
        <v>24</v>
      </c>
      <c r="F36" s="6" t="n">
        <v>32.03</v>
      </c>
      <c r="G36" s="7" t="n">
        <v>17.95</v>
      </c>
      <c r="H36" s="7" t="n">
        <v>574.94</v>
      </c>
      <c r="I36" s="7" t="n">
        <v>95.05</v>
      </c>
      <c r="J36" s="7" t="n">
        <v>479.89</v>
      </c>
    </row>
    <row r="37" customFormat="false" ht="15" hidden="false" customHeight="false" outlineLevel="0" collapsed="false">
      <c r="A37" s="6" t="s">
        <v>95</v>
      </c>
      <c r="B37" s="6" t="s">
        <v>96</v>
      </c>
      <c r="C37" s="6" t="s">
        <v>36</v>
      </c>
      <c r="D37" s="6" t="s">
        <v>23</v>
      </c>
      <c r="E37" s="6" t="s">
        <v>24</v>
      </c>
      <c r="F37" s="6" t="n">
        <v>39.18</v>
      </c>
      <c r="G37" s="7" t="n">
        <v>19.74</v>
      </c>
      <c r="H37" s="7" t="n">
        <v>773.41</v>
      </c>
      <c r="I37" s="7" t="n">
        <v>137.25</v>
      </c>
      <c r="J37" s="7" t="n">
        <v>636.16</v>
      </c>
    </row>
    <row r="38" customFormat="false" ht="15" hidden="false" customHeight="false" outlineLevel="0" collapsed="false">
      <c r="A38" s="6" t="s">
        <v>97</v>
      </c>
      <c r="B38" s="6" t="s">
        <v>98</v>
      </c>
      <c r="C38" s="6" t="s">
        <v>22</v>
      </c>
      <c r="D38" s="6" t="s">
        <v>23</v>
      </c>
      <c r="E38" s="6" t="s">
        <v>24</v>
      </c>
      <c r="F38" s="6" t="n">
        <v>37.33</v>
      </c>
      <c r="G38" s="7" t="n">
        <v>14.93</v>
      </c>
      <c r="H38" s="7" t="n">
        <v>557.34</v>
      </c>
      <c r="I38" s="7" t="n">
        <v>75.47</v>
      </c>
      <c r="J38" s="7" t="n">
        <v>481.87</v>
      </c>
    </row>
    <row r="39" customFormat="false" ht="15" hidden="false" customHeight="false" outlineLevel="0" collapsed="false">
      <c r="A39" s="6" t="s">
        <v>99</v>
      </c>
      <c r="B39" s="6" t="s">
        <v>100</v>
      </c>
      <c r="C39" s="6" t="s">
        <v>27</v>
      </c>
      <c r="D39" s="6" t="s">
        <v>23</v>
      </c>
      <c r="E39" s="6" t="s">
        <v>24</v>
      </c>
      <c r="F39" s="6" t="n">
        <v>38.17</v>
      </c>
      <c r="G39" s="7" t="n">
        <v>25.08</v>
      </c>
      <c r="H39" s="7" t="n">
        <v>957.3</v>
      </c>
      <c r="I39" s="7" t="n">
        <v>138.76</v>
      </c>
      <c r="J39" s="7" t="n">
        <v>818.54</v>
      </c>
    </row>
    <row r="40" customFormat="false" ht="15" hidden="false" customHeight="false" outlineLevel="0" collapsed="false">
      <c r="A40" s="6" t="s">
        <v>101</v>
      </c>
      <c r="B40" s="6" t="s">
        <v>102</v>
      </c>
      <c r="C40" s="6" t="s">
        <v>30</v>
      </c>
      <c r="D40" s="6" t="s">
        <v>23</v>
      </c>
      <c r="E40" s="6" t="s">
        <v>24</v>
      </c>
      <c r="F40" s="6" t="n">
        <v>23.8</v>
      </c>
      <c r="G40" s="7" t="n">
        <v>23.83</v>
      </c>
      <c r="H40" s="7" t="n">
        <v>567.15</v>
      </c>
      <c r="I40" s="7" t="n">
        <v>121.39</v>
      </c>
      <c r="J40" s="7" t="n">
        <v>445.76</v>
      </c>
    </row>
    <row r="41" customFormat="false" ht="15" hidden="false" customHeight="false" outlineLevel="0" collapsed="false">
      <c r="A41" s="6" t="s">
        <v>103</v>
      </c>
      <c r="B41" s="6" t="s">
        <v>104</v>
      </c>
      <c r="C41" s="6" t="s">
        <v>33</v>
      </c>
      <c r="D41" s="6" t="s">
        <v>23</v>
      </c>
      <c r="E41" s="6" t="s">
        <v>24</v>
      </c>
      <c r="F41" s="6" t="n">
        <v>23.93</v>
      </c>
      <c r="G41" s="7" t="n">
        <v>27.2</v>
      </c>
      <c r="H41" s="7" t="n">
        <v>650.9</v>
      </c>
      <c r="I41" s="7" t="n">
        <v>135.53</v>
      </c>
      <c r="J41" s="7" t="n">
        <v>515.37</v>
      </c>
    </row>
    <row r="42" customFormat="false" ht="15" hidden="false" customHeight="false" outlineLevel="0" collapsed="false">
      <c r="A42" s="6" t="s">
        <v>105</v>
      </c>
      <c r="B42" s="6" t="s">
        <v>106</v>
      </c>
      <c r="C42" s="6" t="s">
        <v>36</v>
      </c>
      <c r="D42" s="6" t="s">
        <v>23</v>
      </c>
      <c r="E42" s="6" t="s">
        <v>24</v>
      </c>
      <c r="F42" s="6" t="n">
        <v>32.07</v>
      </c>
      <c r="G42" s="7" t="n">
        <v>18.74</v>
      </c>
      <c r="H42" s="7" t="n">
        <v>600.99</v>
      </c>
      <c r="I42" s="7" t="n">
        <v>78.36</v>
      </c>
      <c r="J42" s="7" t="n">
        <v>522.63</v>
      </c>
    </row>
    <row r="43" customFormat="false" ht="15" hidden="false" customHeight="false" outlineLevel="0" collapsed="false">
      <c r="A43" s="6" t="s">
        <v>107</v>
      </c>
      <c r="B43" s="6" t="s">
        <v>108</v>
      </c>
      <c r="C43" s="6" t="s">
        <v>22</v>
      </c>
      <c r="D43" s="6" t="s">
        <v>23</v>
      </c>
      <c r="E43" s="6" t="s">
        <v>24</v>
      </c>
      <c r="F43" s="6" t="n">
        <v>20.77</v>
      </c>
      <c r="G43" s="7" t="n">
        <v>27.4</v>
      </c>
      <c r="H43" s="7" t="n">
        <v>569.1</v>
      </c>
      <c r="I43" s="7" t="n">
        <v>81.86</v>
      </c>
      <c r="J43" s="7" t="n">
        <v>487.24</v>
      </c>
    </row>
    <row r="44" customFormat="false" ht="15" hidden="false" customHeight="false" outlineLevel="0" collapsed="false">
      <c r="A44" s="6" t="s">
        <v>109</v>
      </c>
      <c r="B44" s="6" t="s">
        <v>110</v>
      </c>
      <c r="C44" s="6" t="s">
        <v>27</v>
      </c>
      <c r="D44" s="6" t="s">
        <v>23</v>
      </c>
      <c r="E44" s="6" t="s">
        <v>24</v>
      </c>
      <c r="F44" s="6" t="n">
        <v>34.09</v>
      </c>
      <c r="G44" s="7" t="n">
        <v>16.11</v>
      </c>
      <c r="H44" s="7" t="n">
        <v>549.19</v>
      </c>
      <c r="I44" s="7" t="n">
        <v>111.14</v>
      </c>
      <c r="J44" s="7" t="n">
        <v>438.05</v>
      </c>
    </row>
    <row r="45" customFormat="false" ht="15" hidden="false" customHeight="false" outlineLevel="0" collapsed="false">
      <c r="A45" s="6" t="s">
        <v>111</v>
      </c>
      <c r="B45" s="6" t="s">
        <v>112</v>
      </c>
      <c r="C45" s="6" t="s">
        <v>30</v>
      </c>
      <c r="D45" s="6" t="s">
        <v>23</v>
      </c>
      <c r="E45" s="6" t="s">
        <v>24</v>
      </c>
      <c r="F45" s="6" t="n">
        <v>31.93</v>
      </c>
      <c r="G45" s="7" t="n">
        <v>16.69</v>
      </c>
      <c r="H45" s="7" t="n">
        <v>532.91</v>
      </c>
      <c r="I45" s="7" t="n">
        <v>73.3</v>
      </c>
      <c r="J45" s="7" t="n">
        <v>459.61</v>
      </c>
    </row>
    <row r="46" customFormat="false" ht="15" hidden="false" customHeight="false" outlineLevel="0" collapsed="false">
      <c r="A46" s="6" t="s">
        <v>113</v>
      </c>
      <c r="B46" s="6" t="s">
        <v>114</v>
      </c>
      <c r="C46" s="6" t="s">
        <v>33</v>
      </c>
      <c r="D46" s="6" t="s">
        <v>23</v>
      </c>
      <c r="E46" s="6" t="s">
        <v>24</v>
      </c>
      <c r="F46" s="6" t="n">
        <v>34.41</v>
      </c>
      <c r="G46" s="7" t="n">
        <v>13.1</v>
      </c>
      <c r="H46" s="7" t="n">
        <v>450.77</v>
      </c>
      <c r="I46" s="7" t="n">
        <v>64.39</v>
      </c>
      <c r="J46" s="7" t="n">
        <v>386.38</v>
      </c>
    </row>
    <row r="47" customFormat="false" ht="15" hidden="false" customHeight="false" outlineLevel="0" collapsed="false">
      <c r="A47" s="6" t="s">
        <v>105</v>
      </c>
      <c r="B47" s="6" t="s">
        <v>106</v>
      </c>
      <c r="C47" s="6" t="s">
        <v>36</v>
      </c>
      <c r="D47" s="6" t="s">
        <v>23</v>
      </c>
      <c r="E47" s="6" t="s">
        <v>24</v>
      </c>
      <c r="F47" s="6" t="n">
        <v>32.07</v>
      </c>
      <c r="G47" s="7" t="n">
        <v>18.74</v>
      </c>
      <c r="H47" s="7" t="n">
        <v>600.99</v>
      </c>
      <c r="I47" s="7" t="n">
        <v>78.36</v>
      </c>
      <c r="J47" s="7" t="n">
        <v>522.63</v>
      </c>
    </row>
    <row r="48" customFormat="false" ht="15" hidden="false" customHeight="false" outlineLevel="0" collapsed="false">
      <c r="A48" s="6" t="s">
        <v>115</v>
      </c>
      <c r="B48" s="6" t="s">
        <v>116</v>
      </c>
      <c r="C48" s="6" t="s">
        <v>36</v>
      </c>
      <c r="D48" s="6" t="s">
        <v>23</v>
      </c>
      <c r="E48" s="6" t="s">
        <v>24</v>
      </c>
      <c r="F48" s="6" t="n">
        <v>31.19</v>
      </c>
      <c r="G48" s="7" t="n">
        <v>25.64</v>
      </c>
      <c r="H48" s="7" t="n">
        <v>799.71</v>
      </c>
      <c r="I48" s="7" t="n">
        <v>145.09</v>
      </c>
      <c r="J48" s="7" t="n">
        <v>654.62</v>
      </c>
    </row>
    <row r="49" customFormat="false" ht="15" hidden="false" customHeight="false" outlineLevel="0" collapsed="false">
      <c r="A49" s="6" t="s">
        <v>117</v>
      </c>
      <c r="B49" s="6" t="s">
        <v>118</v>
      </c>
      <c r="C49" s="6" t="s">
        <v>22</v>
      </c>
      <c r="D49" s="6" t="s">
        <v>23</v>
      </c>
      <c r="E49" s="6" t="s">
        <v>24</v>
      </c>
      <c r="F49" s="6" t="n">
        <v>25.6</v>
      </c>
      <c r="G49" s="7" t="n">
        <v>26.68</v>
      </c>
      <c r="H49" s="7" t="n">
        <v>683.01</v>
      </c>
      <c r="I49" s="7" t="n">
        <v>95.89</v>
      </c>
      <c r="J49" s="7" t="n">
        <v>587.12</v>
      </c>
    </row>
    <row r="50" customFormat="false" ht="15" hidden="false" customHeight="false" outlineLevel="0" collapsed="false">
      <c r="A50" s="6" t="s">
        <v>119</v>
      </c>
      <c r="B50" s="6" t="s">
        <v>120</v>
      </c>
      <c r="C50" s="6" t="s">
        <v>27</v>
      </c>
      <c r="D50" s="6" t="s">
        <v>23</v>
      </c>
      <c r="E50" s="6" t="s">
        <v>24</v>
      </c>
      <c r="F50" s="6" t="n">
        <v>20.33</v>
      </c>
      <c r="G50" s="7" t="n">
        <v>16.31</v>
      </c>
      <c r="H50" s="7" t="n">
        <v>331.58</v>
      </c>
      <c r="I50" s="7" t="n">
        <v>54.57</v>
      </c>
      <c r="J50" s="7" t="n">
        <v>277.01</v>
      </c>
    </row>
    <row r="51" customFormat="false" ht="15" hidden="false" customHeight="false" outlineLevel="0" collapsed="false">
      <c r="A51" s="6" t="s">
        <v>121</v>
      </c>
      <c r="B51" s="6" t="s">
        <v>122</v>
      </c>
      <c r="C51" s="6" t="s">
        <v>30</v>
      </c>
      <c r="D51" s="6" t="s">
        <v>23</v>
      </c>
      <c r="E51" s="6" t="s">
        <v>24</v>
      </c>
      <c r="F51" s="6" t="n">
        <v>21.21</v>
      </c>
      <c r="G51" s="7" t="n">
        <v>14.82</v>
      </c>
      <c r="H51" s="7" t="n">
        <v>314.33</v>
      </c>
      <c r="I51" s="7" t="n">
        <v>49.31</v>
      </c>
      <c r="J51" s="7" t="n">
        <v>265.02</v>
      </c>
    </row>
    <row r="52" customFormat="false" ht="15" hidden="false" customHeight="false" outlineLevel="0" collapsed="false">
      <c r="A52" s="6" t="s">
        <v>123</v>
      </c>
      <c r="B52" s="6" t="s">
        <v>124</v>
      </c>
      <c r="C52" s="6" t="s">
        <v>33</v>
      </c>
      <c r="D52" s="6" t="s">
        <v>23</v>
      </c>
      <c r="E52" s="6" t="s">
        <v>24</v>
      </c>
      <c r="F52" s="6" t="n">
        <v>31.44</v>
      </c>
      <c r="G52" s="7" t="n">
        <v>14.11</v>
      </c>
      <c r="H52" s="7" t="n">
        <v>443.62</v>
      </c>
      <c r="I52" s="7" t="n">
        <v>69.3</v>
      </c>
      <c r="J52" s="7" t="n">
        <v>374.32</v>
      </c>
    </row>
    <row r="53" customFormat="false" ht="15" hidden="false" customHeight="false" outlineLevel="0" collapsed="false">
      <c r="A53" s="6" t="s">
        <v>125</v>
      </c>
      <c r="B53" s="6" t="s">
        <v>126</v>
      </c>
      <c r="C53" s="6" t="s">
        <v>36</v>
      </c>
      <c r="D53" s="6" t="s">
        <v>23</v>
      </c>
      <c r="E53" s="6" t="s">
        <v>24</v>
      </c>
      <c r="F53" s="6" t="n">
        <v>37.82</v>
      </c>
      <c r="G53" s="7" t="n">
        <v>27.69</v>
      </c>
      <c r="H53" s="7" t="n">
        <v>1047.24</v>
      </c>
      <c r="I53" s="7" t="n">
        <v>194.47</v>
      </c>
      <c r="J53" s="7" t="n">
        <v>852.77</v>
      </c>
    </row>
    <row r="54" customFormat="false" ht="15" hidden="false" customHeight="false" outlineLevel="0" collapsed="false">
      <c r="A54" s="6" t="s">
        <v>127</v>
      </c>
      <c r="B54" s="6" t="s">
        <v>128</v>
      </c>
      <c r="C54" s="6" t="s">
        <v>22</v>
      </c>
      <c r="D54" s="6" t="s">
        <v>23</v>
      </c>
      <c r="E54" s="6" t="s">
        <v>24</v>
      </c>
      <c r="F54" s="6" t="n">
        <v>33.82</v>
      </c>
      <c r="G54" s="7" t="n">
        <v>21.35</v>
      </c>
      <c r="H54" s="7" t="n">
        <v>722.06</v>
      </c>
      <c r="I54" s="7" t="n">
        <v>96.78</v>
      </c>
      <c r="J54" s="7" t="n">
        <v>625.28</v>
      </c>
    </row>
    <row r="55" customFormat="false" ht="15" hidden="false" customHeight="false" outlineLevel="0" collapsed="false">
      <c r="A55" s="6" t="s">
        <v>129</v>
      </c>
      <c r="B55" s="6" t="s">
        <v>130</v>
      </c>
      <c r="C55" s="6" t="s">
        <v>27</v>
      </c>
      <c r="D55" s="6" t="s">
        <v>23</v>
      </c>
      <c r="E55" s="6" t="s">
        <v>24</v>
      </c>
      <c r="F55" s="6" t="n">
        <v>20.7</v>
      </c>
      <c r="G55" s="7" t="n">
        <v>12.29</v>
      </c>
      <c r="H55" s="7" t="n">
        <v>254.4</v>
      </c>
      <c r="I55" s="7" t="n">
        <v>53.68</v>
      </c>
      <c r="J55" s="7" t="n">
        <v>200.72</v>
      </c>
    </row>
    <row r="56" customFormat="false" ht="15" hidden="false" customHeight="false" outlineLevel="0" collapsed="false">
      <c r="A56" s="6" t="s">
        <v>131</v>
      </c>
      <c r="B56" s="6" t="s">
        <v>132</v>
      </c>
      <c r="C56" s="6" t="s">
        <v>30</v>
      </c>
      <c r="D56" s="6" t="s">
        <v>23</v>
      </c>
      <c r="E56" s="6" t="s">
        <v>24</v>
      </c>
      <c r="F56" s="6" t="n">
        <v>34.02</v>
      </c>
      <c r="G56" s="7" t="n">
        <v>27.4</v>
      </c>
      <c r="H56" s="7" t="n">
        <v>932.15</v>
      </c>
      <c r="I56" s="7" t="n">
        <v>113.84</v>
      </c>
      <c r="J56" s="7" t="n">
        <v>818.31</v>
      </c>
    </row>
    <row r="57" customFormat="false" ht="15" hidden="false" customHeight="false" outlineLevel="0" collapsed="false">
      <c r="A57" s="6" t="s">
        <v>133</v>
      </c>
      <c r="B57" s="6" t="s">
        <v>134</v>
      </c>
      <c r="C57" s="6" t="s">
        <v>33</v>
      </c>
      <c r="D57" s="6" t="s">
        <v>23</v>
      </c>
      <c r="E57" s="6" t="s">
        <v>24</v>
      </c>
      <c r="F57" s="6" t="n">
        <v>32.72</v>
      </c>
      <c r="G57" s="7" t="n">
        <v>19.72</v>
      </c>
      <c r="H57" s="7" t="n">
        <v>645.24</v>
      </c>
      <c r="I57" s="7" t="n">
        <v>124.56</v>
      </c>
      <c r="J57" s="7" t="n">
        <v>520.68</v>
      </c>
    </row>
    <row r="58" customFormat="false" ht="15" hidden="false" customHeight="false" outlineLevel="0" collapsed="false">
      <c r="A58" s="6" t="s">
        <v>135</v>
      </c>
      <c r="B58" s="6" t="s">
        <v>136</v>
      </c>
      <c r="C58" s="6" t="s">
        <v>36</v>
      </c>
      <c r="D58" s="6" t="s">
        <v>23</v>
      </c>
      <c r="E58" s="6" t="s">
        <v>24</v>
      </c>
      <c r="F58" s="6" t="n">
        <v>26.38</v>
      </c>
      <c r="G58" s="7" t="n">
        <v>27.99</v>
      </c>
      <c r="H58" s="7" t="n">
        <v>738.38</v>
      </c>
      <c r="I58" s="7" t="n">
        <v>94.16</v>
      </c>
      <c r="J58" s="7" t="n">
        <v>644.22</v>
      </c>
    </row>
    <row r="59" customFormat="false" ht="15" hidden="false" customHeight="false" outlineLevel="0" collapsed="false">
      <c r="A59" s="6" t="s">
        <v>137</v>
      </c>
      <c r="B59" s="6" t="s">
        <v>138</v>
      </c>
      <c r="C59" s="6" t="s">
        <v>22</v>
      </c>
      <c r="D59" s="6" t="s">
        <v>23</v>
      </c>
      <c r="E59" s="6" t="s">
        <v>24</v>
      </c>
      <c r="F59" s="6" t="n">
        <v>30.92</v>
      </c>
      <c r="G59" s="7" t="n">
        <v>23.79</v>
      </c>
      <c r="H59" s="7" t="n">
        <v>735.59</v>
      </c>
      <c r="I59" s="7" t="n">
        <v>154.49</v>
      </c>
      <c r="J59" s="7" t="n">
        <v>581.1</v>
      </c>
    </row>
    <row r="60" customFormat="false" ht="15" hidden="false" customHeight="false" outlineLevel="0" collapsed="false">
      <c r="A60" s="6" t="s">
        <v>139</v>
      </c>
      <c r="B60" s="6" t="s">
        <v>140</v>
      </c>
      <c r="C60" s="6" t="s">
        <v>27</v>
      </c>
      <c r="D60" s="6" t="s">
        <v>23</v>
      </c>
      <c r="E60" s="6" t="s">
        <v>24</v>
      </c>
      <c r="F60" s="6" t="n">
        <v>34.74</v>
      </c>
      <c r="G60" s="7" t="n">
        <v>23.26</v>
      </c>
      <c r="H60" s="7" t="n">
        <v>808.05</v>
      </c>
      <c r="I60" s="7" t="n">
        <v>161.07</v>
      </c>
      <c r="J60" s="7" t="n">
        <v>646.98</v>
      </c>
    </row>
    <row r="61" customFormat="false" ht="15" hidden="false" customHeight="false" outlineLevel="0" collapsed="false">
      <c r="A61" s="6" t="s">
        <v>141</v>
      </c>
      <c r="B61" s="6" t="s">
        <v>142</v>
      </c>
      <c r="C61" s="6" t="s">
        <v>30</v>
      </c>
      <c r="D61" s="6" t="s">
        <v>23</v>
      </c>
      <c r="E61" s="6" t="s">
        <v>24</v>
      </c>
      <c r="F61" s="6" t="n">
        <v>38.3</v>
      </c>
      <c r="G61" s="7" t="n">
        <v>17.63</v>
      </c>
      <c r="H61" s="7" t="n">
        <v>675.23</v>
      </c>
      <c r="I61" s="7" t="n">
        <v>127.29</v>
      </c>
      <c r="J61" s="7" t="n">
        <v>547.94</v>
      </c>
    </row>
    <row r="62" customFormat="false" ht="15" hidden="false" customHeight="false" outlineLevel="0" collapsed="false">
      <c r="A62" s="6" t="s">
        <v>143</v>
      </c>
      <c r="B62" s="6" t="s">
        <v>144</v>
      </c>
      <c r="C62" s="6" t="s">
        <v>33</v>
      </c>
      <c r="D62" s="6" t="s">
        <v>23</v>
      </c>
      <c r="E62" s="6" t="s">
        <v>24</v>
      </c>
      <c r="F62" s="6" t="n">
        <v>38.02</v>
      </c>
      <c r="G62" s="7" t="n">
        <v>25.94</v>
      </c>
      <c r="H62" s="7" t="n">
        <v>986.24</v>
      </c>
      <c r="I62" s="7" t="n">
        <v>159.49</v>
      </c>
      <c r="J62" s="7" t="n">
        <v>826.75</v>
      </c>
    </row>
    <row r="63" customFormat="false" ht="15" hidden="false" customHeight="false" outlineLevel="0" collapsed="false">
      <c r="A63" s="6" t="s">
        <v>145</v>
      </c>
      <c r="B63" s="6" t="s">
        <v>146</v>
      </c>
      <c r="C63" s="6" t="s">
        <v>36</v>
      </c>
      <c r="D63" s="6" t="s">
        <v>23</v>
      </c>
      <c r="E63" s="6" t="s">
        <v>24</v>
      </c>
      <c r="F63" s="6" t="n">
        <v>35.81</v>
      </c>
      <c r="G63" s="7" t="n">
        <v>25.82</v>
      </c>
      <c r="H63" s="7" t="n">
        <v>924.61</v>
      </c>
      <c r="I63" s="7" t="n">
        <v>163.92</v>
      </c>
      <c r="J63" s="7" t="n">
        <v>760.69</v>
      </c>
    </row>
    <row r="64" customFormat="false" ht="15" hidden="false" customHeight="false" outlineLevel="0" collapsed="false">
      <c r="A64" s="6" t="s">
        <v>20</v>
      </c>
      <c r="B64" s="6" t="s">
        <v>21</v>
      </c>
      <c r="C64" s="6" t="s">
        <v>22</v>
      </c>
      <c r="D64" s="6" t="s">
        <v>147</v>
      </c>
      <c r="E64" s="6" t="s">
        <v>24</v>
      </c>
      <c r="F64" s="6" t="n">
        <v>32.5</v>
      </c>
      <c r="G64" s="7" t="n">
        <v>18.12</v>
      </c>
      <c r="H64" s="7" t="n">
        <v>588.9</v>
      </c>
      <c r="I64" s="7" t="n">
        <v>104.98</v>
      </c>
      <c r="J64" s="7" t="n">
        <v>483.92</v>
      </c>
    </row>
    <row r="65" customFormat="false" ht="15" hidden="false" customHeight="false" outlineLevel="0" collapsed="false">
      <c r="A65" s="6" t="s">
        <v>25</v>
      </c>
      <c r="B65" s="6" t="s">
        <v>26</v>
      </c>
      <c r="C65" s="6" t="s">
        <v>27</v>
      </c>
      <c r="D65" s="6" t="s">
        <v>147</v>
      </c>
      <c r="E65" s="6" t="s">
        <v>24</v>
      </c>
      <c r="F65" s="6" t="n">
        <v>32.18</v>
      </c>
      <c r="G65" s="7" t="n">
        <v>13.28</v>
      </c>
      <c r="H65" s="7" t="n">
        <v>427.35</v>
      </c>
      <c r="I65" s="7" t="n">
        <v>78.61</v>
      </c>
      <c r="J65" s="7" t="n">
        <v>348.74</v>
      </c>
    </row>
    <row r="66" customFormat="false" ht="15" hidden="false" customHeight="false" outlineLevel="0" collapsed="false">
      <c r="A66" s="6" t="s">
        <v>28</v>
      </c>
      <c r="B66" s="6" t="s">
        <v>29</v>
      </c>
      <c r="C66" s="6" t="s">
        <v>30</v>
      </c>
      <c r="D66" s="6" t="s">
        <v>147</v>
      </c>
      <c r="E66" s="6" t="s">
        <v>24</v>
      </c>
      <c r="F66" s="6" t="n">
        <v>39.87</v>
      </c>
      <c r="G66" s="7" t="n">
        <v>26.08</v>
      </c>
      <c r="H66" s="7" t="n">
        <v>1039.81</v>
      </c>
      <c r="I66" s="7" t="n">
        <v>200.5</v>
      </c>
      <c r="J66" s="7" t="n">
        <v>839.31</v>
      </c>
    </row>
    <row r="67" customFormat="false" ht="15" hidden="false" customHeight="false" outlineLevel="0" collapsed="false">
      <c r="A67" s="6" t="s">
        <v>31</v>
      </c>
      <c r="B67" s="6" t="s">
        <v>32</v>
      </c>
      <c r="C67" s="6" t="s">
        <v>33</v>
      </c>
      <c r="D67" s="6" t="s">
        <v>147</v>
      </c>
      <c r="E67" s="6" t="s">
        <v>24</v>
      </c>
      <c r="F67" s="6" t="n">
        <v>27.77</v>
      </c>
      <c r="G67" s="7" t="n">
        <v>23.76</v>
      </c>
      <c r="H67" s="7" t="n">
        <v>659.82</v>
      </c>
      <c r="I67" s="7" t="n">
        <v>117.51</v>
      </c>
      <c r="J67" s="7" t="n">
        <v>542.31</v>
      </c>
    </row>
    <row r="68" customFormat="false" ht="15" hidden="false" customHeight="false" outlineLevel="0" collapsed="false">
      <c r="A68" s="6" t="s">
        <v>34</v>
      </c>
      <c r="B68" s="6" t="s">
        <v>35</v>
      </c>
      <c r="C68" s="6" t="s">
        <v>36</v>
      </c>
      <c r="D68" s="6" t="s">
        <v>147</v>
      </c>
      <c r="E68" s="6" t="s">
        <v>24</v>
      </c>
      <c r="F68" s="6" t="n">
        <v>28.81</v>
      </c>
      <c r="G68" s="7" t="n">
        <v>25.41</v>
      </c>
      <c r="H68" s="7" t="n">
        <v>732.06</v>
      </c>
      <c r="I68" s="7" t="n">
        <v>93.98</v>
      </c>
      <c r="J68" s="7" t="n">
        <v>638.08</v>
      </c>
    </row>
    <row r="69" customFormat="false" ht="15" hidden="false" customHeight="false" outlineLevel="0" collapsed="false">
      <c r="A69" s="6" t="s">
        <v>37</v>
      </c>
      <c r="B69" s="6" t="s">
        <v>38</v>
      </c>
      <c r="C69" s="6" t="s">
        <v>22</v>
      </c>
      <c r="D69" s="6" t="s">
        <v>147</v>
      </c>
      <c r="E69" s="6" t="s">
        <v>24</v>
      </c>
      <c r="F69" s="6" t="n">
        <v>35</v>
      </c>
      <c r="G69" s="7" t="n">
        <v>12.48</v>
      </c>
      <c r="H69" s="7" t="n">
        <v>436.8</v>
      </c>
      <c r="I69" s="7" t="n">
        <v>78.68</v>
      </c>
      <c r="J69" s="7" t="n">
        <v>358.12</v>
      </c>
    </row>
    <row r="70" customFormat="false" ht="15" hidden="false" customHeight="false" outlineLevel="0" collapsed="false">
      <c r="A70" s="6" t="s">
        <v>39</v>
      </c>
      <c r="B70" s="6" t="s">
        <v>40</v>
      </c>
      <c r="C70" s="6" t="s">
        <v>27</v>
      </c>
      <c r="D70" s="6" t="s">
        <v>147</v>
      </c>
      <c r="E70" s="6" t="s">
        <v>24</v>
      </c>
      <c r="F70" s="6" t="n">
        <v>29.62</v>
      </c>
      <c r="G70" s="7" t="n">
        <v>15.68</v>
      </c>
      <c r="H70" s="7" t="n">
        <v>464.44</v>
      </c>
      <c r="I70" s="7" t="n">
        <v>88.17</v>
      </c>
      <c r="J70" s="7" t="n">
        <v>376.27</v>
      </c>
    </row>
    <row r="71" customFormat="false" ht="15" hidden="false" customHeight="false" outlineLevel="0" collapsed="false">
      <c r="A71" s="6" t="s">
        <v>41</v>
      </c>
      <c r="B71" s="6" t="s">
        <v>42</v>
      </c>
      <c r="C71" s="6" t="s">
        <v>30</v>
      </c>
      <c r="D71" s="6" t="s">
        <v>147</v>
      </c>
      <c r="E71" s="6" t="s">
        <v>24</v>
      </c>
      <c r="F71" s="6" t="n">
        <v>29.95</v>
      </c>
      <c r="G71" s="7" t="n">
        <v>21.83</v>
      </c>
      <c r="H71" s="7" t="n">
        <v>653.81</v>
      </c>
      <c r="I71" s="7" t="n">
        <v>138.64</v>
      </c>
      <c r="J71" s="7" t="n">
        <v>515.17</v>
      </c>
    </row>
    <row r="72" customFormat="false" ht="15" hidden="false" customHeight="false" outlineLevel="0" collapsed="false">
      <c r="A72" s="6" t="s">
        <v>43</v>
      </c>
      <c r="B72" s="6" t="s">
        <v>44</v>
      </c>
      <c r="C72" s="6" t="s">
        <v>33</v>
      </c>
      <c r="D72" s="6" t="s">
        <v>147</v>
      </c>
      <c r="E72" s="6" t="s">
        <v>24</v>
      </c>
      <c r="F72" s="6" t="n">
        <v>25.12</v>
      </c>
      <c r="G72" s="7" t="n">
        <v>12.18</v>
      </c>
      <c r="H72" s="7" t="n">
        <v>305.96</v>
      </c>
      <c r="I72" s="7" t="n">
        <v>45.93</v>
      </c>
      <c r="J72" s="7" t="n">
        <v>260.03</v>
      </c>
    </row>
    <row r="73" customFormat="false" ht="15" hidden="false" customHeight="false" outlineLevel="0" collapsed="false">
      <c r="A73" s="6" t="s">
        <v>45</v>
      </c>
      <c r="B73" s="6" t="s">
        <v>46</v>
      </c>
      <c r="C73" s="6" t="s">
        <v>36</v>
      </c>
      <c r="D73" s="6" t="s">
        <v>147</v>
      </c>
      <c r="E73" s="6" t="s">
        <v>24</v>
      </c>
      <c r="F73" s="6" t="n">
        <v>33.56</v>
      </c>
      <c r="G73" s="7" t="n">
        <v>15.24</v>
      </c>
      <c r="H73" s="7" t="n">
        <v>511.45</v>
      </c>
      <c r="I73" s="7" t="n">
        <v>70.05</v>
      </c>
      <c r="J73" s="7" t="n">
        <v>441.4</v>
      </c>
    </row>
    <row r="74" customFormat="false" ht="15" hidden="false" customHeight="false" outlineLevel="0" collapsed="false">
      <c r="A74" s="6" t="s">
        <v>47</v>
      </c>
      <c r="B74" s="6" t="s">
        <v>48</v>
      </c>
      <c r="C74" s="6" t="s">
        <v>22</v>
      </c>
      <c r="D74" s="6" t="s">
        <v>147</v>
      </c>
      <c r="E74" s="6" t="s">
        <v>24</v>
      </c>
      <c r="F74" s="6" t="n">
        <v>38.11</v>
      </c>
      <c r="G74" s="7" t="n">
        <v>22.56</v>
      </c>
      <c r="H74" s="7" t="n">
        <v>859.76</v>
      </c>
      <c r="I74" s="7" t="n">
        <v>141.17</v>
      </c>
      <c r="J74" s="7" t="n">
        <v>718.59</v>
      </c>
    </row>
    <row r="75" customFormat="false" ht="15" hidden="false" customHeight="false" outlineLevel="0" collapsed="false">
      <c r="A75" s="6" t="s">
        <v>49</v>
      </c>
      <c r="B75" s="6" t="s">
        <v>50</v>
      </c>
      <c r="C75" s="6" t="s">
        <v>27</v>
      </c>
      <c r="D75" s="6" t="s">
        <v>147</v>
      </c>
      <c r="E75" s="6" t="s">
        <v>24</v>
      </c>
      <c r="F75" s="6" t="n">
        <v>37.83</v>
      </c>
      <c r="G75" s="7" t="n">
        <v>17.23</v>
      </c>
      <c r="H75" s="7" t="n">
        <v>651.81</v>
      </c>
      <c r="I75" s="7" t="n">
        <v>121.62</v>
      </c>
      <c r="J75" s="7" t="n">
        <v>530.19</v>
      </c>
    </row>
    <row r="76" customFormat="false" ht="15" hidden="false" customHeight="false" outlineLevel="0" collapsed="false">
      <c r="A76" s="6" t="s">
        <v>51</v>
      </c>
      <c r="B76" s="6" t="s">
        <v>52</v>
      </c>
      <c r="C76" s="6" t="s">
        <v>30</v>
      </c>
      <c r="D76" s="6" t="s">
        <v>147</v>
      </c>
      <c r="E76" s="6" t="s">
        <v>24</v>
      </c>
      <c r="F76" s="6" t="n">
        <v>23.97</v>
      </c>
      <c r="G76" s="7" t="n">
        <v>18.89</v>
      </c>
      <c r="H76" s="7" t="n">
        <v>452.79</v>
      </c>
      <c r="I76" s="7" t="n">
        <v>90.83</v>
      </c>
      <c r="J76" s="7" t="n">
        <v>361.96</v>
      </c>
    </row>
    <row r="77" customFormat="false" ht="15" hidden="false" customHeight="false" outlineLevel="0" collapsed="false">
      <c r="A77" s="6" t="s">
        <v>53</v>
      </c>
      <c r="B77" s="6" t="s">
        <v>54</v>
      </c>
      <c r="C77" s="6" t="s">
        <v>33</v>
      </c>
      <c r="D77" s="6" t="s">
        <v>147</v>
      </c>
      <c r="E77" s="6" t="s">
        <v>24</v>
      </c>
      <c r="F77" s="6" t="n">
        <v>38.28</v>
      </c>
      <c r="G77" s="7" t="n">
        <v>26.08</v>
      </c>
      <c r="H77" s="7" t="n">
        <v>998.34</v>
      </c>
      <c r="I77" s="7" t="n">
        <v>158.18</v>
      </c>
      <c r="J77" s="7" t="n">
        <v>840.16</v>
      </c>
    </row>
    <row r="78" customFormat="false" ht="15" hidden="false" customHeight="false" outlineLevel="0" collapsed="false">
      <c r="A78" s="6" t="s">
        <v>55</v>
      </c>
      <c r="B78" s="6" t="s">
        <v>56</v>
      </c>
      <c r="C78" s="6" t="s">
        <v>36</v>
      </c>
      <c r="D78" s="6" t="s">
        <v>147</v>
      </c>
      <c r="E78" s="6" t="s">
        <v>24</v>
      </c>
      <c r="F78" s="6" t="n">
        <v>31.66</v>
      </c>
      <c r="G78" s="7" t="n">
        <v>17.06</v>
      </c>
      <c r="H78" s="7" t="n">
        <v>540.12</v>
      </c>
      <c r="I78" s="7" t="n">
        <v>72.17</v>
      </c>
      <c r="J78" s="7" t="n">
        <v>467.95</v>
      </c>
    </row>
    <row r="79" customFormat="false" ht="15" hidden="false" customHeight="false" outlineLevel="0" collapsed="false">
      <c r="A79" s="6" t="s">
        <v>57</v>
      </c>
      <c r="B79" s="6" t="s">
        <v>58</v>
      </c>
      <c r="C79" s="6" t="s">
        <v>22</v>
      </c>
      <c r="D79" s="6" t="s">
        <v>147</v>
      </c>
      <c r="E79" s="6" t="s">
        <v>24</v>
      </c>
      <c r="F79" s="6" t="n">
        <v>29.93</v>
      </c>
      <c r="G79" s="7" t="n">
        <v>25.39</v>
      </c>
      <c r="H79" s="7" t="n">
        <v>759.92</v>
      </c>
      <c r="I79" s="7" t="n">
        <v>155.69</v>
      </c>
      <c r="J79" s="7" t="n">
        <v>604.23</v>
      </c>
    </row>
    <row r="80" customFormat="false" ht="15" hidden="false" customHeight="false" outlineLevel="0" collapsed="false">
      <c r="A80" s="6" t="s">
        <v>59</v>
      </c>
      <c r="B80" s="6" t="s">
        <v>60</v>
      </c>
      <c r="C80" s="6" t="s">
        <v>27</v>
      </c>
      <c r="D80" s="6" t="s">
        <v>147</v>
      </c>
      <c r="E80" s="6" t="s">
        <v>24</v>
      </c>
      <c r="F80" s="6" t="n">
        <v>34.22</v>
      </c>
      <c r="G80" s="7" t="n">
        <v>27.2</v>
      </c>
      <c r="H80" s="7" t="n">
        <v>930.78</v>
      </c>
      <c r="I80" s="7" t="n">
        <v>137.46</v>
      </c>
      <c r="J80" s="7" t="n">
        <v>793.32</v>
      </c>
    </row>
    <row r="81" customFormat="false" ht="15" hidden="false" customHeight="false" outlineLevel="0" collapsed="false">
      <c r="A81" s="6" t="s">
        <v>61</v>
      </c>
      <c r="B81" s="6" t="s">
        <v>62</v>
      </c>
      <c r="C81" s="6" t="s">
        <v>30</v>
      </c>
      <c r="D81" s="6" t="s">
        <v>147</v>
      </c>
      <c r="E81" s="6" t="s">
        <v>24</v>
      </c>
      <c r="F81" s="6" t="n">
        <v>23.38</v>
      </c>
      <c r="G81" s="7" t="n">
        <v>19.21</v>
      </c>
      <c r="H81" s="7" t="n">
        <v>449.13</v>
      </c>
      <c r="I81" s="7" t="n">
        <v>66.25</v>
      </c>
      <c r="J81" s="7" t="n">
        <v>382.88</v>
      </c>
    </row>
    <row r="82" customFormat="false" ht="15" hidden="false" customHeight="false" outlineLevel="0" collapsed="false">
      <c r="A82" s="6" t="s">
        <v>63</v>
      </c>
      <c r="B82" s="6" t="s">
        <v>64</v>
      </c>
      <c r="C82" s="6" t="s">
        <v>33</v>
      </c>
      <c r="D82" s="6" t="s">
        <v>147</v>
      </c>
      <c r="E82" s="6" t="s">
        <v>24</v>
      </c>
      <c r="F82" s="6" t="n">
        <v>24.28</v>
      </c>
      <c r="G82" s="7" t="n">
        <v>18.62</v>
      </c>
      <c r="H82" s="7" t="n">
        <v>452.09</v>
      </c>
      <c r="I82" s="7" t="n">
        <v>82.54</v>
      </c>
      <c r="J82" s="7" t="n">
        <v>369.55</v>
      </c>
    </row>
    <row r="83" customFormat="false" ht="15" hidden="false" customHeight="false" outlineLevel="0" collapsed="false">
      <c r="A83" s="6" t="s">
        <v>65</v>
      </c>
      <c r="B83" s="6" t="s">
        <v>66</v>
      </c>
      <c r="C83" s="6" t="s">
        <v>36</v>
      </c>
      <c r="D83" s="6" t="s">
        <v>147</v>
      </c>
      <c r="E83" s="6" t="s">
        <v>24</v>
      </c>
      <c r="F83" s="6" t="n">
        <v>29.88</v>
      </c>
      <c r="G83" s="7" t="n">
        <v>17.05</v>
      </c>
      <c r="H83" s="7" t="n">
        <v>509.45</v>
      </c>
      <c r="I83" s="7" t="n">
        <v>103.88</v>
      </c>
      <c r="J83" s="7" t="n">
        <v>405.57</v>
      </c>
    </row>
    <row r="84" customFormat="false" ht="15" hidden="false" customHeight="false" outlineLevel="0" collapsed="false">
      <c r="A84" s="6" t="s">
        <v>67</v>
      </c>
      <c r="B84" s="6" t="s">
        <v>68</v>
      </c>
      <c r="C84" s="6" t="s">
        <v>22</v>
      </c>
      <c r="D84" s="6" t="s">
        <v>147</v>
      </c>
      <c r="E84" s="6" t="s">
        <v>24</v>
      </c>
      <c r="F84" s="6" t="n">
        <v>39.64</v>
      </c>
      <c r="G84" s="7" t="n">
        <v>19.24</v>
      </c>
      <c r="H84" s="7" t="n">
        <v>762.67</v>
      </c>
      <c r="I84" s="7" t="n">
        <v>97.22</v>
      </c>
      <c r="J84" s="7" t="n">
        <v>665.45</v>
      </c>
    </row>
    <row r="85" customFormat="false" ht="15" hidden="false" customHeight="false" outlineLevel="0" collapsed="false">
      <c r="A85" s="6" t="s">
        <v>69</v>
      </c>
      <c r="B85" s="6" t="s">
        <v>70</v>
      </c>
      <c r="C85" s="6" t="s">
        <v>27</v>
      </c>
      <c r="D85" s="6" t="s">
        <v>147</v>
      </c>
      <c r="E85" s="6" t="s">
        <v>24</v>
      </c>
      <c r="F85" s="6" t="n">
        <v>20.63</v>
      </c>
      <c r="G85" s="7" t="n">
        <v>25.97</v>
      </c>
      <c r="H85" s="7" t="n">
        <v>535.76</v>
      </c>
      <c r="I85" s="7" t="n">
        <v>66.51</v>
      </c>
      <c r="J85" s="7" t="n">
        <v>469.25</v>
      </c>
    </row>
    <row r="86" customFormat="false" ht="15" hidden="false" customHeight="false" outlineLevel="0" collapsed="false">
      <c r="A86" s="6" t="s">
        <v>71</v>
      </c>
      <c r="B86" s="6" t="s">
        <v>72</v>
      </c>
      <c r="C86" s="6" t="s">
        <v>30</v>
      </c>
      <c r="D86" s="6" t="s">
        <v>147</v>
      </c>
      <c r="E86" s="6" t="s">
        <v>24</v>
      </c>
      <c r="F86" s="6" t="n">
        <v>34.17</v>
      </c>
      <c r="G86" s="7" t="n">
        <v>21.13</v>
      </c>
      <c r="H86" s="7" t="n">
        <v>722.01</v>
      </c>
      <c r="I86" s="7" t="n">
        <v>108.95</v>
      </c>
      <c r="J86" s="7" t="n">
        <v>613.06</v>
      </c>
    </row>
    <row r="87" customFormat="false" ht="15" hidden="false" customHeight="false" outlineLevel="0" collapsed="false">
      <c r="A87" s="6" t="s">
        <v>73</v>
      </c>
      <c r="B87" s="6" t="s">
        <v>74</v>
      </c>
      <c r="C87" s="6" t="s">
        <v>33</v>
      </c>
      <c r="D87" s="6" t="s">
        <v>147</v>
      </c>
      <c r="E87" s="6" t="s">
        <v>24</v>
      </c>
      <c r="F87" s="6" t="n">
        <v>35.83</v>
      </c>
      <c r="G87" s="7" t="n">
        <v>12.31</v>
      </c>
      <c r="H87" s="7" t="n">
        <v>441.07</v>
      </c>
      <c r="I87" s="7" t="n">
        <v>58.92</v>
      </c>
      <c r="J87" s="7" t="n">
        <v>382.15</v>
      </c>
    </row>
    <row r="88" customFormat="false" ht="15" hidden="false" customHeight="false" outlineLevel="0" collapsed="false">
      <c r="A88" s="6" t="s">
        <v>75</v>
      </c>
      <c r="B88" s="6" t="s">
        <v>76</v>
      </c>
      <c r="C88" s="6" t="s">
        <v>36</v>
      </c>
      <c r="D88" s="6" t="s">
        <v>147</v>
      </c>
      <c r="E88" s="6" t="s">
        <v>24</v>
      </c>
      <c r="F88" s="6" t="n">
        <v>29.1</v>
      </c>
      <c r="G88" s="7" t="n">
        <v>12.4</v>
      </c>
      <c r="H88" s="7" t="n">
        <v>360.84</v>
      </c>
      <c r="I88" s="7" t="n">
        <v>73.24</v>
      </c>
      <c r="J88" s="7" t="n">
        <v>287.6</v>
      </c>
    </row>
    <row r="89" customFormat="false" ht="15" hidden="false" customHeight="false" outlineLevel="0" collapsed="false">
      <c r="A89" s="6" t="s">
        <v>77</v>
      </c>
      <c r="B89" s="6" t="s">
        <v>78</v>
      </c>
      <c r="C89" s="6" t="s">
        <v>22</v>
      </c>
      <c r="D89" s="6" t="s">
        <v>147</v>
      </c>
      <c r="E89" s="6" t="s">
        <v>24</v>
      </c>
      <c r="F89" s="6" t="n">
        <v>24.75</v>
      </c>
      <c r="G89" s="7" t="n">
        <v>14.25</v>
      </c>
      <c r="H89" s="7" t="n">
        <v>352.69</v>
      </c>
      <c r="I89" s="7" t="n">
        <v>43.98</v>
      </c>
      <c r="J89" s="7" t="n">
        <v>308.71</v>
      </c>
    </row>
    <row r="90" customFormat="false" ht="15" hidden="false" customHeight="false" outlineLevel="0" collapsed="false">
      <c r="A90" s="6" t="s">
        <v>79</v>
      </c>
      <c r="B90" s="6" t="s">
        <v>80</v>
      </c>
      <c r="C90" s="6" t="s">
        <v>27</v>
      </c>
      <c r="D90" s="6" t="s">
        <v>147</v>
      </c>
      <c r="E90" s="6" t="s">
        <v>24</v>
      </c>
      <c r="F90" s="6" t="n">
        <v>32.58</v>
      </c>
      <c r="G90" s="7" t="n">
        <v>19.14</v>
      </c>
      <c r="H90" s="7" t="n">
        <v>603.58</v>
      </c>
      <c r="I90" s="7" t="n">
        <v>114.11</v>
      </c>
      <c r="J90" s="7" t="n">
        <v>509.47</v>
      </c>
    </row>
    <row r="91" customFormat="false" ht="15" hidden="false" customHeight="false" outlineLevel="0" collapsed="false">
      <c r="A91" s="6" t="s">
        <v>81</v>
      </c>
      <c r="B91" s="6" t="s">
        <v>82</v>
      </c>
      <c r="C91" s="6" t="s">
        <v>30</v>
      </c>
      <c r="D91" s="6" t="s">
        <v>147</v>
      </c>
      <c r="E91" s="6" t="s">
        <v>24</v>
      </c>
      <c r="F91" s="6" t="n">
        <v>33.1</v>
      </c>
      <c r="G91" s="7" t="n">
        <v>24.92</v>
      </c>
      <c r="H91" s="7" t="n">
        <v>824.85</v>
      </c>
      <c r="I91" s="7" t="n">
        <v>178.04</v>
      </c>
      <c r="J91" s="7" t="n">
        <v>646.81</v>
      </c>
    </row>
    <row r="92" customFormat="false" ht="15" hidden="false" customHeight="false" outlineLevel="0" collapsed="false">
      <c r="A92" s="6" t="s">
        <v>83</v>
      </c>
      <c r="B92" s="6" t="s">
        <v>84</v>
      </c>
      <c r="C92" s="6" t="s">
        <v>33</v>
      </c>
      <c r="D92" s="6" t="s">
        <v>147</v>
      </c>
      <c r="E92" s="6" t="s">
        <v>24</v>
      </c>
      <c r="F92" s="6" t="n">
        <v>33.69</v>
      </c>
      <c r="G92" s="7" t="n">
        <v>15.19</v>
      </c>
      <c r="H92" s="7" t="n">
        <v>511.75</v>
      </c>
      <c r="I92" s="7" t="n">
        <v>85.73</v>
      </c>
      <c r="J92" s="7" t="n">
        <v>426.02</v>
      </c>
    </row>
    <row r="93" customFormat="false" ht="15" hidden="false" customHeight="false" outlineLevel="0" collapsed="false">
      <c r="A93" s="6" t="s">
        <v>85</v>
      </c>
      <c r="B93" s="6" t="s">
        <v>86</v>
      </c>
      <c r="C93" s="6" t="s">
        <v>36</v>
      </c>
      <c r="D93" s="6" t="s">
        <v>147</v>
      </c>
      <c r="E93" s="6" t="s">
        <v>24</v>
      </c>
      <c r="F93" s="6" t="n">
        <v>23.57</v>
      </c>
      <c r="G93" s="7" t="n">
        <v>12.17</v>
      </c>
      <c r="H93" s="7" t="n">
        <v>286.85</v>
      </c>
      <c r="I93" s="7" t="n">
        <v>47.97</v>
      </c>
      <c r="J93" s="7" t="n">
        <v>238.88</v>
      </c>
    </row>
    <row r="94" customFormat="false" ht="15" hidden="false" customHeight="false" outlineLevel="0" collapsed="false">
      <c r="A94" s="6" t="s">
        <v>87</v>
      </c>
      <c r="B94" s="6" t="s">
        <v>88</v>
      </c>
      <c r="C94" s="6" t="s">
        <v>22</v>
      </c>
      <c r="D94" s="6" t="s">
        <v>147</v>
      </c>
      <c r="E94" s="6" t="s">
        <v>24</v>
      </c>
      <c r="F94" s="6" t="n">
        <v>34.28</v>
      </c>
      <c r="G94" s="7" t="n">
        <v>14.87</v>
      </c>
      <c r="H94" s="7" t="n">
        <v>509.74</v>
      </c>
      <c r="I94" s="7" t="n">
        <v>75.05</v>
      </c>
      <c r="J94" s="7" t="n">
        <v>434.69</v>
      </c>
    </row>
    <row r="95" customFormat="false" ht="15" hidden="false" customHeight="false" outlineLevel="0" collapsed="false">
      <c r="A95" s="6" t="s">
        <v>89</v>
      </c>
      <c r="B95" s="6" t="s">
        <v>90</v>
      </c>
      <c r="C95" s="6" t="s">
        <v>27</v>
      </c>
      <c r="D95" s="6" t="s">
        <v>147</v>
      </c>
      <c r="E95" s="6" t="s">
        <v>24</v>
      </c>
      <c r="F95" s="6" t="n">
        <v>26.91</v>
      </c>
      <c r="G95" s="7" t="n">
        <v>23.16</v>
      </c>
      <c r="H95" s="7" t="n">
        <v>623.24</v>
      </c>
      <c r="I95" s="7" t="n">
        <v>107.22</v>
      </c>
      <c r="J95" s="7" t="n">
        <v>516.02</v>
      </c>
    </row>
    <row r="96" customFormat="false" ht="15" hidden="false" customHeight="false" outlineLevel="0" collapsed="false">
      <c r="A96" s="6" t="s">
        <v>91</v>
      </c>
      <c r="B96" s="6" t="s">
        <v>92</v>
      </c>
      <c r="C96" s="6" t="s">
        <v>30</v>
      </c>
      <c r="D96" s="6" t="s">
        <v>147</v>
      </c>
      <c r="E96" s="6" t="s">
        <v>24</v>
      </c>
      <c r="F96" s="6" t="n">
        <v>32.29</v>
      </c>
      <c r="G96" s="7" t="n">
        <v>24.1</v>
      </c>
      <c r="H96" s="7" t="n">
        <v>778.19</v>
      </c>
      <c r="I96" s="7" t="n">
        <v>124.01</v>
      </c>
      <c r="J96" s="7" t="n">
        <v>654.18</v>
      </c>
    </row>
    <row r="97" customFormat="false" ht="15" hidden="false" customHeight="false" outlineLevel="0" collapsed="false">
      <c r="A97" s="6" t="s">
        <v>93</v>
      </c>
      <c r="B97" s="6" t="s">
        <v>94</v>
      </c>
      <c r="C97" s="6" t="s">
        <v>33</v>
      </c>
      <c r="D97" s="6" t="s">
        <v>147</v>
      </c>
      <c r="E97" s="6" t="s">
        <v>24</v>
      </c>
      <c r="F97" s="6" t="n">
        <v>35.84</v>
      </c>
      <c r="G97" s="7" t="n">
        <v>26.5</v>
      </c>
      <c r="H97" s="7" t="n">
        <v>949.76</v>
      </c>
      <c r="I97" s="7" t="n">
        <v>122.25</v>
      </c>
      <c r="J97" s="7" t="n">
        <v>827.51</v>
      </c>
    </row>
    <row r="98" customFormat="false" ht="15" hidden="false" customHeight="false" outlineLevel="0" collapsed="false">
      <c r="A98" s="6" t="s">
        <v>95</v>
      </c>
      <c r="B98" s="6" t="s">
        <v>96</v>
      </c>
      <c r="C98" s="6" t="s">
        <v>36</v>
      </c>
      <c r="D98" s="6" t="s">
        <v>147</v>
      </c>
      <c r="E98" s="6" t="s">
        <v>24</v>
      </c>
      <c r="F98" s="6" t="n">
        <v>38.65</v>
      </c>
      <c r="G98" s="7" t="n">
        <v>23.56</v>
      </c>
      <c r="H98" s="7" t="n">
        <v>910.59</v>
      </c>
      <c r="I98" s="7" t="n">
        <v>121.1</v>
      </c>
      <c r="J98" s="7" t="n">
        <v>789.49</v>
      </c>
    </row>
    <row r="99" customFormat="false" ht="15" hidden="false" customHeight="false" outlineLevel="0" collapsed="false">
      <c r="A99" s="6" t="s">
        <v>97</v>
      </c>
      <c r="B99" s="6" t="s">
        <v>98</v>
      </c>
      <c r="C99" s="6" t="s">
        <v>22</v>
      </c>
      <c r="D99" s="6" t="s">
        <v>147</v>
      </c>
      <c r="E99" s="6" t="s">
        <v>24</v>
      </c>
      <c r="F99" s="6" t="n">
        <v>29.07</v>
      </c>
      <c r="G99" s="7" t="n">
        <v>22.01</v>
      </c>
      <c r="H99" s="7" t="n">
        <v>639.83</v>
      </c>
      <c r="I99" s="7" t="n">
        <v>135</v>
      </c>
      <c r="J99" s="7" t="n">
        <v>504.83</v>
      </c>
    </row>
    <row r="100" customFormat="false" ht="15" hidden="false" customHeight="false" outlineLevel="0" collapsed="false">
      <c r="A100" s="6" t="s">
        <v>99</v>
      </c>
      <c r="B100" s="6" t="s">
        <v>100</v>
      </c>
      <c r="C100" s="6" t="s">
        <v>27</v>
      </c>
      <c r="D100" s="6" t="s">
        <v>147</v>
      </c>
      <c r="E100" s="6" t="s">
        <v>24</v>
      </c>
      <c r="F100" s="6" t="n">
        <v>27.54</v>
      </c>
      <c r="G100" s="7" t="n">
        <v>21.1</v>
      </c>
      <c r="H100" s="7" t="n">
        <v>581.09</v>
      </c>
      <c r="I100" s="7" t="n">
        <v>120.83</v>
      </c>
      <c r="J100" s="7" t="n">
        <v>460.26</v>
      </c>
    </row>
    <row r="101" customFormat="false" ht="15" hidden="false" customHeight="false" outlineLevel="0" collapsed="false">
      <c r="A101" s="6" t="s">
        <v>101</v>
      </c>
      <c r="B101" s="6" t="s">
        <v>102</v>
      </c>
      <c r="C101" s="6" t="s">
        <v>30</v>
      </c>
      <c r="D101" s="6" t="s">
        <v>147</v>
      </c>
      <c r="E101" s="6" t="s">
        <v>24</v>
      </c>
      <c r="F101" s="6" t="n">
        <v>35.94</v>
      </c>
      <c r="G101" s="7" t="n">
        <v>27.11</v>
      </c>
      <c r="H101" s="7" t="n">
        <v>974.33</v>
      </c>
      <c r="I101" s="7" t="n">
        <v>162.1</v>
      </c>
      <c r="J101" s="7" t="n">
        <v>812.23</v>
      </c>
    </row>
    <row r="102" customFormat="false" ht="15" hidden="false" customHeight="false" outlineLevel="0" collapsed="false">
      <c r="A102" s="6" t="s">
        <v>103</v>
      </c>
      <c r="B102" s="6" t="s">
        <v>104</v>
      </c>
      <c r="C102" s="6" t="s">
        <v>33</v>
      </c>
      <c r="D102" s="6" t="s">
        <v>147</v>
      </c>
      <c r="E102" s="6" t="s">
        <v>24</v>
      </c>
      <c r="F102" s="6" t="n">
        <v>33.03</v>
      </c>
      <c r="G102" s="7" t="n">
        <v>15.28</v>
      </c>
      <c r="H102" s="7" t="n">
        <v>504.7</v>
      </c>
      <c r="I102" s="7" t="n">
        <v>97</v>
      </c>
      <c r="J102" s="7" t="n">
        <v>407.7</v>
      </c>
    </row>
    <row r="103" customFormat="false" ht="15" hidden="false" customHeight="false" outlineLevel="0" collapsed="false">
      <c r="A103" s="6" t="s">
        <v>105</v>
      </c>
      <c r="B103" s="6" t="s">
        <v>106</v>
      </c>
      <c r="C103" s="6" t="s">
        <v>36</v>
      </c>
      <c r="D103" s="6" t="s">
        <v>147</v>
      </c>
      <c r="E103" s="6" t="s">
        <v>24</v>
      </c>
      <c r="F103" s="6" t="n">
        <v>36.37</v>
      </c>
      <c r="G103" s="7" t="n">
        <v>22.27</v>
      </c>
      <c r="H103" s="7" t="n">
        <v>809.96</v>
      </c>
      <c r="I103" s="7" t="n">
        <v>155.32</v>
      </c>
      <c r="J103" s="7" t="n">
        <v>654.64</v>
      </c>
    </row>
    <row r="104" customFormat="false" ht="15" hidden="false" customHeight="false" outlineLevel="0" collapsed="false">
      <c r="A104" s="6" t="s">
        <v>107</v>
      </c>
      <c r="B104" s="6" t="s">
        <v>108</v>
      </c>
      <c r="C104" s="6" t="s">
        <v>22</v>
      </c>
      <c r="D104" s="6" t="s">
        <v>147</v>
      </c>
      <c r="E104" s="6" t="s">
        <v>24</v>
      </c>
      <c r="F104" s="6" t="n">
        <v>24.27</v>
      </c>
      <c r="G104" s="7" t="n">
        <v>26.4</v>
      </c>
      <c r="H104" s="7" t="n">
        <v>640.73</v>
      </c>
      <c r="I104" s="7" t="n">
        <v>139.71</v>
      </c>
      <c r="J104" s="7" t="n">
        <v>501.02</v>
      </c>
    </row>
    <row r="105" customFormat="false" ht="15" hidden="false" customHeight="false" outlineLevel="0" collapsed="false">
      <c r="A105" s="6" t="s">
        <v>109</v>
      </c>
      <c r="B105" s="6" t="s">
        <v>110</v>
      </c>
      <c r="C105" s="6" t="s">
        <v>27</v>
      </c>
      <c r="D105" s="6" t="s">
        <v>147</v>
      </c>
      <c r="E105" s="6" t="s">
        <v>24</v>
      </c>
      <c r="F105" s="6" t="n">
        <v>39.55</v>
      </c>
      <c r="G105" s="7" t="n">
        <v>20.59</v>
      </c>
      <c r="H105" s="7" t="n">
        <v>814.33</v>
      </c>
      <c r="I105" s="7" t="n">
        <v>162.12</v>
      </c>
      <c r="J105" s="7" t="n">
        <v>652.21</v>
      </c>
    </row>
    <row r="106" customFormat="false" ht="15" hidden="false" customHeight="false" outlineLevel="0" collapsed="false">
      <c r="A106" s="6" t="s">
        <v>111</v>
      </c>
      <c r="B106" s="6" t="s">
        <v>112</v>
      </c>
      <c r="C106" s="6" t="s">
        <v>30</v>
      </c>
      <c r="D106" s="6" t="s">
        <v>147</v>
      </c>
      <c r="E106" s="6" t="s">
        <v>24</v>
      </c>
      <c r="F106" s="6" t="n">
        <v>26.41</v>
      </c>
      <c r="G106" s="7" t="n">
        <v>26.56</v>
      </c>
      <c r="H106" s="7" t="n">
        <v>701.45</v>
      </c>
      <c r="I106" s="7" t="n">
        <v>144.2</v>
      </c>
      <c r="J106" s="7" t="n">
        <v>557.25</v>
      </c>
    </row>
    <row r="107" customFormat="false" ht="15" hidden="false" customHeight="false" outlineLevel="0" collapsed="false">
      <c r="A107" s="6" t="s">
        <v>113</v>
      </c>
      <c r="B107" s="6" t="s">
        <v>114</v>
      </c>
      <c r="C107" s="6" t="s">
        <v>33</v>
      </c>
      <c r="D107" s="6" t="s">
        <v>147</v>
      </c>
      <c r="E107" s="6" t="s">
        <v>24</v>
      </c>
      <c r="F107" s="6" t="n">
        <v>26.97</v>
      </c>
      <c r="G107" s="7" t="n">
        <v>13.32</v>
      </c>
      <c r="H107" s="7" t="n">
        <v>359.24</v>
      </c>
      <c r="I107" s="7" t="n">
        <v>58.95</v>
      </c>
      <c r="J107" s="7" t="n">
        <v>300.29</v>
      </c>
    </row>
    <row r="108" customFormat="false" ht="15" hidden="false" customHeight="false" outlineLevel="0" collapsed="false">
      <c r="A108" s="6" t="s">
        <v>115</v>
      </c>
      <c r="B108" s="6" t="s">
        <v>116</v>
      </c>
      <c r="C108" s="6" t="s">
        <v>36</v>
      </c>
      <c r="D108" s="6" t="s">
        <v>147</v>
      </c>
      <c r="E108" s="6" t="s">
        <v>24</v>
      </c>
      <c r="F108" s="6" t="n">
        <v>31.01</v>
      </c>
      <c r="G108" s="7" t="n">
        <v>24.29</v>
      </c>
      <c r="H108" s="7" t="n">
        <v>753.23</v>
      </c>
      <c r="I108" s="7" t="n">
        <v>127.1</v>
      </c>
      <c r="J108" s="7" t="n">
        <v>626.13</v>
      </c>
    </row>
    <row r="109" customFormat="false" ht="15" hidden="false" customHeight="false" outlineLevel="0" collapsed="false">
      <c r="A109" s="6" t="s">
        <v>117</v>
      </c>
      <c r="B109" s="6" t="s">
        <v>118</v>
      </c>
      <c r="C109" s="6" t="s">
        <v>22</v>
      </c>
      <c r="D109" s="6" t="s">
        <v>147</v>
      </c>
      <c r="E109" s="6" t="s">
        <v>24</v>
      </c>
      <c r="F109" s="6" t="n">
        <v>20.57</v>
      </c>
      <c r="G109" s="7" t="n">
        <v>24.95</v>
      </c>
      <c r="H109" s="7" t="n">
        <v>513.22</v>
      </c>
      <c r="I109" s="7" t="n">
        <v>64.87</v>
      </c>
      <c r="J109" s="7" t="n">
        <v>448.35</v>
      </c>
    </row>
    <row r="110" customFormat="false" ht="15" hidden="false" customHeight="false" outlineLevel="0" collapsed="false">
      <c r="A110" s="6" t="s">
        <v>119</v>
      </c>
      <c r="B110" s="6" t="s">
        <v>120</v>
      </c>
      <c r="C110" s="6" t="s">
        <v>27</v>
      </c>
      <c r="D110" s="6" t="s">
        <v>147</v>
      </c>
      <c r="E110" s="6" t="s">
        <v>24</v>
      </c>
      <c r="F110" s="6" t="n">
        <v>36</v>
      </c>
      <c r="G110" s="7" t="n">
        <v>14.77</v>
      </c>
      <c r="H110" s="7" t="n">
        <v>531.72</v>
      </c>
      <c r="I110" s="7" t="n">
        <v>81.62</v>
      </c>
      <c r="J110" s="7" t="n">
        <v>450.1</v>
      </c>
    </row>
    <row r="111" customFormat="false" ht="15" hidden="false" customHeight="false" outlineLevel="0" collapsed="false">
      <c r="A111" s="6" t="s">
        <v>121</v>
      </c>
      <c r="B111" s="6" t="s">
        <v>122</v>
      </c>
      <c r="C111" s="6" t="s">
        <v>30</v>
      </c>
      <c r="D111" s="6" t="s">
        <v>147</v>
      </c>
      <c r="E111" s="6" t="s">
        <v>24</v>
      </c>
      <c r="F111" s="6" t="n">
        <v>35.76</v>
      </c>
      <c r="G111" s="7" t="n">
        <v>14.25</v>
      </c>
      <c r="H111" s="7" t="n">
        <v>509.58</v>
      </c>
      <c r="I111" s="7" t="n">
        <v>68.73</v>
      </c>
      <c r="J111" s="7" t="n">
        <v>440.85</v>
      </c>
    </row>
    <row r="112" customFormat="false" ht="15" hidden="false" customHeight="false" outlineLevel="0" collapsed="false">
      <c r="A112" s="6" t="s">
        <v>123</v>
      </c>
      <c r="B112" s="6" t="s">
        <v>124</v>
      </c>
      <c r="C112" s="6" t="s">
        <v>33</v>
      </c>
      <c r="D112" s="6" t="s">
        <v>147</v>
      </c>
      <c r="E112" s="6" t="s">
        <v>24</v>
      </c>
      <c r="F112" s="6" t="n">
        <v>30.33</v>
      </c>
      <c r="G112" s="7" t="n">
        <v>23.58</v>
      </c>
      <c r="H112" s="7" t="n">
        <v>715.18</v>
      </c>
      <c r="I112" s="7" t="n">
        <v>145.9</v>
      </c>
      <c r="J112" s="7" t="n">
        <v>569.28</v>
      </c>
    </row>
    <row r="113" customFormat="false" ht="15" hidden="false" customHeight="false" outlineLevel="0" collapsed="false">
      <c r="A113" s="6" t="s">
        <v>125</v>
      </c>
      <c r="B113" s="6" t="s">
        <v>126</v>
      </c>
      <c r="C113" s="6" t="s">
        <v>36</v>
      </c>
      <c r="D113" s="6" t="s">
        <v>147</v>
      </c>
      <c r="E113" s="6" t="s">
        <v>24</v>
      </c>
      <c r="F113" s="6" t="n">
        <v>33.79</v>
      </c>
      <c r="G113" s="7" t="n">
        <v>27.13</v>
      </c>
      <c r="H113" s="7" t="n">
        <v>916.72</v>
      </c>
      <c r="I113" s="7" t="n">
        <v>155.16</v>
      </c>
      <c r="J113" s="7" t="n">
        <v>761.56</v>
      </c>
    </row>
    <row r="114" customFormat="false" ht="15" hidden="false" customHeight="false" outlineLevel="0" collapsed="false">
      <c r="A114" s="6" t="s">
        <v>127</v>
      </c>
      <c r="B114" s="6" t="s">
        <v>128</v>
      </c>
      <c r="C114" s="6" t="s">
        <v>22</v>
      </c>
      <c r="D114" s="6" t="s">
        <v>147</v>
      </c>
      <c r="E114" s="6" t="s">
        <v>24</v>
      </c>
      <c r="F114" s="6" t="n">
        <v>38.98</v>
      </c>
      <c r="G114" s="7" t="n">
        <v>13.38</v>
      </c>
      <c r="H114" s="7" t="n">
        <v>521.55</v>
      </c>
      <c r="I114" s="7" t="n">
        <v>74.13</v>
      </c>
      <c r="J114" s="7" t="n">
        <v>447.42</v>
      </c>
    </row>
    <row r="115" customFormat="false" ht="15" hidden="false" customHeight="false" outlineLevel="0" collapsed="false">
      <c r="A115" s="6" t="s">
        <v>129</v>
      </c>
      <c r="B115" s="6" t="s">
        <v>130</v>
      </c>
      <c r="C115" s="6" t="s">
        <v>27</v>
      </c>
      <c r="D115" s="6" t="s">
        <v>147</v>
      </c>
      <c r="E115" s="6" t="s">
        <v>24</v>
      </c>
      <c r="F115" s="6" t="n">
        <v>30.53</v>
      </c>
      <c r="G115" s="7" t="n">
        <v>16.64</v>
      </c>
      <c r="H115" s="7" t="n">
        <v>508.02</v>
      </c>
      <c r="I115" s="7" t="n">
        <v>97.99</v>
      </c>
      <c r="J115" s="7" t="n">
        <v>410.03</v>
      </c>
    </row>
    <row r="116" customFormat="false" ht="15" hidden="false" customHeight="false" outlineLevel="0" collapsed="false">
      <c r="A116" s="6" t="s">
        <v>131</v>
      </c>
      <c r="B116" s="6" t="s">
        <v>132</v>
      </c>
      <c r="C116" s="6" t="s">
        <v>30</v>
      </c>
      <c r="D116" s="6" t="s">
        <v>147</v>
      </c>
      <c r="E116" s="6" t="s">
        <v>24</v>
      </c>
      <c r="F116" s="6" t="n">
        <v>32.78</v>
      </c>
      <c r="G116" s="7" t="n">
        <v>20.36</v>
      </c>
      <c r="H116" s="7" t="n">
        <v>667.4</v>
      </c>
      <c r="I116" s="7" t="n">
        <v>136.39</v>
      </c>
      <c r="J116" s="7" t="n">
        <v>531.01</v>
      </c>
    </row>
    <row r="117" customFormat="false" ht="15" hidden="false" customHeight="false" outlineLevel="0" collapsed="false">
      <c r="A117" s="6" t="s">
        <v>133</v>
      </c>
      <c r="B117" s="6" t="s">
        <v>134</v>
      </c>
      <c r="C117" s="6" t="s">
        <v>33</v>
      </c>
      <c r="D117" s="6" t="s">
        <v>147</v>
      </c>
      <c r="E117" s="6" t="s">
        <v>24</v>
      </c>
      <c r="F117" s="6" t="n">
        <v>31.2</v>
      </c>
      <c r="G117" s="7" t="n">
        <v>16.99</v>
      </c>
      <c r="H117" s="7" t="n">
        <v>530.09</v>
      </c>
      <c r="I117" s="7" t="n">
        <v>83.82</v>
      </c>
      <c r="J117" s="7" t="n">
        <v>446.27</v>
      </c>
    </row>
    <row r="118" customFormat="false" ht="15" hidden="false" customHeight="false" outlineLevel="0" collapsed="false">
      <c r="A118" s="6" t="s">
        <v>135</v>
      </c>
      <c r="B118" s="6" t="s">
        <v>136</v>
      </c>
      <c r="C118" s="6" t="s">
        <v>36</v>
      </c>
      <c r="D118" s="6" t="s">
        <v>147</v>
      </c>
      <c r="E118" s="6" t="s">
        <v>24</v>
      </c>
      <c r="F118" s="6" t="n">
        <v>36.91</v>
      </c>
      <c r="G118" s="7" t="n">
        <v>26.41</v>
      </c>
      <c r="H118" s="7" t="n">
        <v>974.79</v>
      </c>
      <c r="I118" s="7" t="n">
        <v>137.27</v>
      </c>
      <c r="J118" s="7" t="n">
        <v>837.52</v>
      </c>
    </row>
    <row r="119" customFormat="false" ht="15" hidden="false" customHeight="false" outlineLevel="0" collapsed="false">
      <c r="A119" s="6" t="s">
        <v>137</v>
      </c>
      <c r="B119" s="6" t="s">
        <v>138</v>
      </c>
      <c r="C119" s="6" t="s">
        <v>22</v>
      </c>
      <c r="D119" s="6" t="s">
        <v>147</v>
      </c>
      <c r="E119" s="6" t="s">
        <v>24</v>
      </c>
      <c r="F119" s="6" t="n">
        <v>37.02</v>
      </c>
      <c r="G119" s="7" t="n">
        <v>27.5</v>
      </c>
      <c r="H119" s="7" t="n">
        <v>1018.05</v>
      </c>
      <c r="I119" s="7" t="n">
        <v>175.53</v>
      </c>
      <c r="J119" s="7" t="n">
        <v>842.52</v>
      </c>
    </row>
    <row r="120" customFormat="false" ht="15" hidden="false" customHeight="false" outlineLevel="0" collapsed="false">
      <c r="A120" s="6" t="s">
        <v>139</v>
      </c>
      <c r="B120" s="6" t="s">
        <v>140</v>
      </c>
      <c r="C120" s="6" t="s">
        <v>27</v>
      </c>
      <c r="D120" s="6" t="s">
        <v>147</v>
      </c>
      <c r="E120" s="6" t="s">
        <v>24</v>
      </c>
      <c r="F120" s="6" t="n">
        <v>31.46</v>
      </c>
      <c r="G120" s="7" t="n">
        <v>15.22</v>
      </c>
      <c r="H120" s="7" t="n">
        <v>478.82</v>
      </c>
      <c r="I120" s="7" t="n">
        <v>83.12</v>
      </c>
      <c r="J120" s="7" t="n">
        <v>395.7</v>
      </c>
    </row>
    <row r="121" customFormat="false" ht="15" hidden="false" customHeight="false" outlineLevel="0" collapsed="false">
      <c r="A121" s="6" t="s">
        <v>141</v>
      </c>
      <c r="B121" s="6" t="s">
        <v>142</v>
      </c>
      <c r="C121" s="6" t="s">
        <v>30</v>
      </c>
      <c r="D121" s="6" t="s">
        <v>147</v>
      </c>
      <c r="E121" s="6" t="s">
        <v>24</v>
      </c>
      <c r="F121" s="6" t="n">
        <v>30.06</v>
      </c>
      <c r="G121" s="7" t="n">
        <v>21.68</v>
      </c>
      <c r="H121" s="7" t="n">
        <v>651.7</v>
      </c>
      <c r="I121" s="7" t="n">
        <v>80.01</v>
      </c>
      <c r="J121" s="7" t="n">
        <v>571.69</v>
      </c>
    </row>
    <row r="122" customFormat="false" ht="15" hidden="false" customHeight="false" outlineLevel="0" collapsed="false">
      <c r="A122" s="6" t="s">
        <v>143</v>
      </c>
      <c r="B122" s="6" t="s">
        <v>144</v>
      </c>
      <c r="C122" s="6" t="s">
        <v>33</v>
      </c>
      <c r="D122" s="6" t="s">
        <v>147</v>
      </c>
      <c r="E122" s="6" t="s">
        <v>24</v>
      </c>
      <c r="F122" s="6" t="n">
        <v>39.39</v>
      </c>
      <c r="G122" s="7" t="n">
        <v>20.26</v>
      </c>
      <c r="H122" s="7" t="n">
        <v>798.04</v>
      </c>
      <c r="I122" s="7" t="n">
        <v>127.73</v>
      </c>
      <c r="J122" s="7" t="n">
        <v>670.31</v>
      </c>
    </row>
    <row r="123" customFormat="false" ht="15" hidden="false" customHeight="false" outlineLevel="0" collapsed="false">
      <c r="A123" s="6" t="s">
        <v>145</v>
      </c>
      <c r="B123" s="6" t="s">
        <v>146</v>
      </c>
      <c r="C123" s="6" t="s">
        <v>36</v>
      </c>
      <c r="D123" s="6" t="s">
        <v>147</v>
      </c>
      <c r="E123" s="6" t="s">
        <v>24</v>
      </c>
      <c r="F123" s="6" t="n">
        <v>36.02</v>
      </c>
      <c r="G123" s="7" t="n">
        <v>21.01</v>
      </c>
      <c r="H123" s="7" t="n">
        <v>756.78</v>
      </c>
      <c r="I123" s="7" t="n">
        <v>127.97</v>
      </c>
      <c r="J123" s="7" t="n">
        <v>628.81</v>
      </c>
    </row>
    <row r="124" customFormat="false" ht="15" hidden="false" customHeight="false" outlineLevel="0" collapsed="false">
      <c r="A124" s="6" t="s">
        <v>20</v>
      </c>
      <c r="B124" s="6" t="s">
        <v>21</v>
      </c>
      <c r="C124" s="6" t="s">
        <v>22</v>
      </c>
      <c r="D124" s="6" t="s">
        <v>148</v>
      </c>
      <c r="E124" s="6" t="s">
        <v>24</v>
      </c>
      <c r="F124" s="6" t="n">
        <v>33.82</v>
      </c>
      <c r="G124" s="7" t="n">
        <v>13.05</v>
      </c>
      <c r="H124" s="7" t="n">
        <v>441.35</v>
      </c>
      <c r="I124" s="7" t="n">
        <v>76.74</v>
      </c>
      <c r="J124" s="7" t="n">
        <v>364.61</v>
      </c>
    </row>
    <row r="125" customFormat="false" ht="15" hidden="false" customHeight="false" outlineLevel="0" collapsed="false">
      <c r="A125" s="6" t="s">
        <v>25</v>
      </c>
      <c r="B125" s="6" t="s">
        <v>26</v>
      </c>
      <c r="C125" s="6" t="s">
        <v>27</v>
      </c>
      <c r="D125" s="6" t="s">
        <v>148</v>
      </c>
      <c r="E125" s="6" t="s">
        <v>24</v>
      </c>
      <c r="F125" s="6" t="n">
        <v>28.28</v>
      </c>
      <c r="G125" s="7" t="n">
        <v>27.31</v>
      </c>
      <c r="H125" s="7" t="n">
        <v>772.33</v>
      </c>
      <c r="I125" s="7" t="n">
        <v>164</v>
      </c>
      <c r="J125" s="7" t="n">
        <v>608.33</v>
      </c>
    </row>
    <row r="126" customFormat="false" ht="15" hidden="false" customHeight="false" outlineLevel="0" collapsed="false">
      <c r="A126" s="6" t="s">
        <v>28</v>
      </c>
      <c r="B126" s="6" t="s">
        <v>29</v>
      </c>
      <c r="C126" s="6" t="s">
        <v>30</v>
      </c>
      <c r="D126" s="6" t="s">
        <v>148</v>
      </c>
      <c r="E126" s="6" t="s">
        <v>24</v>
      </c>
      <c r="F126" s="6" t="n">
        <v>25.38</v>
      </c>
      <c r="G126" s="7" t="n">
        <v>19.57</v>
      </c>
      <c r="H126" s="7" t="n">
        <v>496.69</v>
      </c>
      <c r="I126" s="7" t="n">
        <v>65.91</v>
      </c>
      <c r="J126" s="7" t="n">
        <v>430.78</v>
      </c>
    </row>
    <row r="127" customFormat="false" ht="15" hidden="false" customHeight="false" outlineLevel="0" collapsed="false">
      <c r="A127" s="6" t="s">
        <v>31</v>
      </c>
      <c r="B127" s="6" t="s">
        <v>32</v>
      </c>
      <c r="C127" s="6" t="s">
        <v>33</v>
      </c>
      <c r="D127" s="6" t="s">
        <v>148</v>
      </c>
      <c r="E127" s="6" t="s">
        <v>24</v>
      </c>
      <c r="F127" s="6" t="n">
        <v>28.67</v>
      </c>
      <c r="G127" s="7" t="n">
        <v>25.05</v>
      </c>
      <c r="H127" s="7" t="n">
        <v>718.18</v>
      </c>
      <c r="I127" s="7" t="n">
        <v>150.86</v>
      </c>
      <c r="J127" s="7" t="n">
        <v>567.32</v>
      </c>
    </row>
    <row r="128" customFormat="false" ht="15" hidden="false" customHeight="false" outlineLevel="0" collapsed="false">
      <c r="A128" s="6" t="s">
        <v>34</v>
      </c>
      <c r="B128" s="6" t="s">
        <v>35</v>
      </c>
      <c r="C128" s="6" t="s">
        <v>36</v>
      </c>
      <c r="D128" s="6" t="s">
        <v>148</v>
      </c>
      <c r="E128" s="6" t="s">
        <v>24</v>
      </c>
      <c r="F128" s="6" t="n">
        <v>29.53</v>
      </c>
      <c r="G128" s="7" t="n">
        <v>17.08</v>
      </c>
      <c r="H128" s="7" t="n">
        <v>504.37</v>
      </c>
      <c r="I128" s="7" t="n">
        <v>70.18</v>
      </c>
      <c r="J128" s="7" t="n">
        <v>434.19</v>
      </c>
    </row>
    <row r="129" customFormat="false" ht="15" hidden="false" customHeight="false" outlineLevel="0" collapsed="false">
      <c r="A129" s="6" t="s">
        <v>37</v>
      </c>
      <c r="B129" s="6" t="s">
        <v>38</v>
      </c>
      <c r="C129" s="6" t="s">
        <v>22</v>
      </c>
      <c r="D129" s="6" t="s">
        <v>148</v>
      </c>
      <c r="E129" s="6" t="s">
        <v>24</v>
      </c>
      <c r="F129" s="6" t="n">
        <v>32.36</v>
      </c>
      <c r="G129" s="7" t="n">
        <v>26.8</v>
      </c>
      <c r="H129" s="7" t="n">
        <v>867.25</v>
      </c>
      <c r="I129" s="7" t="n">
        <v>115.3</v>
      </c>
      <c r="J129" s="7" t="n">
        <v>751.95</v>
      </c>
    </row>
    <row r="130" customFormat="false" ht="15" hidden="false" customHeight="false" outlineLevel="0" collapsed="false">
      <c r="A130" s="6" t="s">
        <v>39</v>
      </c>
      <c r="B130" s="6" t="s">
        <v>40</v>
      </c>
      <c r="C130" s="6" t="s">
        <v>27</v>
      </c>
      <c r="D130" s="6" t="s">
        <v>148</v>
      </c>
      <c r="E130" s="6" t="s">
        <v>24</v>
      </c>
      <c r="F130" s="6" t="n">
        <v>35.59</v>
      </c>
      <c r="G130" s="7" t="n">
        <v>12.36</v>
      </c>
      <c r="H130" s="7" t="n">
        <v>439.89</v>
      </c>
      <c r="I130" s="7" t="n">
        <v>61.33</v>
      </c>
      <c r="J130" s="7" t="n">
        <v>378.56</v>
      </c>
    </row>
    <row r="131" customFormat="false" ht="15" hidden="false" customHeight="false" outlineLevel="0" collapsed="false">
      <c r="A131" s="6" t="s">
        <v>41</v>
      </c>
      <c r="B131" s="6" t="s">
        <v>42</v>
      </c>
      <c r="C131" s="6" t="s">
        <v>30</v>
      </c>
      <c r="D131" s="6" t="s">
        <v>148</v>
      </c>
      <c r="E131" s="6" t="s">
        <v>24</v>
      </c>
      <c r="F131" s="6" t="n">
        <v>24.55</v>
      </c>
      <c r="G131" s="7" t="n">
        <v>22.99</v>
      </c>
      <c r="H131" s="7" t="n">
        <v>564.4</v>
      </c>
      <c r="I131" s="7" t="n">
        <v>85.91</v>
      </c>
      <c r="J131" s="7" t="n">
        <v>478.49</v>
      </c>
    </row>
    <row r="132" customFormat="false" ht="15" hidden="false" customHeight="false" outlineLevel="0" collapsed="false">
      <c r="A132" s="6" t="s">
        <v>43</v>
      </c>
      <c r="B132" s="6" t="s">
        <v>44</v>
      </c>
      <c r="C132" s="6" t="s">
        <v>33</v>
      </c>
      <c r="D132" s="6" t="s">
        <v>148</v>
      </c>
      <c r="E132" s="6" t="s">
        <v>24</v>
      </c>
      <c r="F132" s="6" t="n">
        <v>27.11</v>
      </c>
      <c r="G132" s="7" t="n">
        <v>21.92</v>
      </c>
      <c r="H132" s="7" t="n">
        <v>624.25</v>
      </c>
      <c r="I132" s="7" t="n">
        <v>77.54</v>
      </c>
      <c r="J132" s="7" t="n">
        <v>516.71</v>
      </c>
    </row>
    <row r="133" customFormat="false" ht="15" hidden="false" customHeight="false" outlineLevel="0" collapsed="false">
      <c r="A133" s="6" t="s">
        <v>45</v>
      </c>
      <c r="B133" s="6" t="s">
        <v>46</v>
      </c>
      <c r="C133" s="6" t="s">
        <v>36</v>
      </c>
      <c r="D133" s="6" t="s">
        <v>148</v>
      </c>
      <c r="E133" s="6" t="s">
        <v>24</v>
      </c>
      <c r="F133" s="6" t="n">
        <v>34.62</v>
      </c>
      <c r="G133" s="7" t="n">
        <v>13.96</v>
      </c>
      <c r="H133" s="7" t="n">
        <v>483.3</v>
      </c>
      <c r="I133" s="7" t="n">
        <v>82.67</v>
      </c>
      <c r="J133" s="7" t="n">
        <v>400.63</v>
      </c>
    </row>
    <row r="134" customFormat="false" ht="15" hidden="false" customHeight="false" outlineLevel="0" collapsed="false">
      <c r="A134" s="6" t="s">
        <v>47</v>
      </c>
      <c r="B134" s="6" t="s">
        <v>48</v>
      </c>
      <c r="C134" s="6" t="s">
        <v>22</v>
      </c>
      <c r="D134" s="6" t="s">
        <v>148</v>
      </c>
      <c r="E134" s="6" t="s">
        <v>24</v>
      </c>
      <c r="F134" s="6" t="n">
        <v>25.01</v>
      </c>
      <c r="G134" s="7" t="n">
        <v>15.16</v>
      </c>
      <c r="H134" s="7" t="n">
        <v>379.15</v>
      </c>
      <c r="I134" s="7" t="n">
        <v>65.61</v>
      </c>
      <c r="J134" s="7" t="n">
        <v>313.54</v>
      </c>
    </row>
    <row r="135" customFormat="false" ht="15" hidden="false" customHeight="false" outlineLevel="0" collapsed="false">
      <c r="A135" s="6" t="s">
        <v>49</v>
      </c>
      <c r="B135" s="6" t="s">
        <v>50</v>
      </c>
      <c r="C135" s="6" t="s">
        <v>27</v>
      </c>
      <c r="D135" s="6" t="s">
        <v>148</v>
      </c>
      <c r="E135" s="6" t="s">
        <v>24</v>
      </c>
      <c r="F135" s="6" t="n">
        <v>28.74</v>
      </c>
      <c r="G135" s="7" t="n">
        <v>18.01</v>
      </c>
      <c r="H135" s="7" t="n">
        <v>517.61</v>
      </c>
      <c r="I135" s="7" t="n">
        <v>83.51</v>
      </c>
      <c r="J135" s="7" t="n">
        <v>434.1</v>
      </c>
    </row>
    <row r="136" customFormat="false" ht="15" hidden="false" customHeight="false" outlineLevel="0" collapsed="false">
      <c r="A136" s="6" t="s">
        <v>51</v>
      </c>
      <c r="B136" s="6" t="s">
        <v>52</v>
      </c>
      <c r="C136" s="6" t="s">
        <v>30</v>
      </c>
      <c r="D136" s="6" t="s">
        <v>148</v>
      </c>
      <c r="E136" s="6" t="s">
        <v>24</v>
      </c>
      <c r="F136" s="6" t="n">
        <v>30.59</v>
      </c>
      <c r="G136" s="7" t="n">
        <v>14.56</v>
      </c>
      <c r="H136" s="7" t="n">
        <v>445.39</v>
      </c>
      <c r="I136" s="7" t="n">
        <v>62.54</v>
      </c>
      <c r="J136" s="7" t="n">
        <v>382.85</v>
      </c>
    </row>
    <row r="137" customFormat="false" ht="15" hidden="false" customHeight="false" outlineLevel="0" collapsed="false">
      <c r="A137" s="6" t="s">
        <v>53</v>
      </c>
      <c r="B137" s="6" t="s">
        <v>54</v>
      </c>
      <c r="C137" s="6" t="s">
        <v>33</v>
      </c>
      <c r="D137" s="6" t="s">
        <v>148</v>
      </c>
      <c r="E137" s="6" t="s">
        <v>24</v>
      </c>
      <c r="F137" s="6" t="n">
        <v>32.63</v>
      </c>
      <c r="G137" s="7" t="n">
        <v>22.22</v>
      </c>
      <c r="H137" s="7" t="n">
        <v>725.04</v>
      </c>
      <c r="I137" s="7" t="n">
        <v>125.4</v>
      </c>
      <c r="J137" s="7" t="n">
        <v>599.64</v>
      </c>
    </row>
    <row r="138" customFormat="false" ht="15" hidden="false" customHeight="false" outlineLevel="0" collapsed="false">
      <c r="A138" s="6" t="s">
        <v>55</v>
      </c>
      <c r="B138" s="6" t="s">
        <v>56</v>
      </c>
      <c r="C138" s="6" t="s">
        <v>36</v>
      </c>
      <c r="D138" s="6" t="s">
        <v>148</v>
      </c>
      <c r="E138" s="6" t="s">
        <v>24</v>
      </c>
      <c r="F138" s="6" t="n">
        <v>37.03</v>
      </c>
      <c r="G138" s="7" t="n">
        <v>21.79</v>
      </c>
      <c r="H138" s="7" t="n">
        <v>806.88</v>
      </c>
      <c r="I138" s="7" t="n">
        <v>165.96</v>
      </c>
      <c r="J138" s="7" t="n">
        <v>640.92</v>
      </c>
    </row>
    <row r="139" customFormat="false" ht="15" hidden="false" customHeight="false" outlineLevel="0" collapsed="false">
      <c r="A139" s="6" t="s">
        <v>57</v>
      </c>
      <c r="B139" s="6" t="s">
        <v>58</v>
      </c>
      <c r="C139" s="6" t="s">
        <v>22</v>
      </c>
      <c r="D139" s="6" t="s">
        <v>148</v>
      </c>
      <c r="E139" s="6" t="s">
        <v>24</v>
      </c>
      <c r="F139" s="6" t="n">
        <v>24.65</v>
      </c>
      <c r="G139" s="7" t="n">
        <v>23.85</v>
      </c>
      <c r="H139" s="7" t="n">
        <v>587.9</v>
      </c>
      <c r="I139" s="7" t="n">
        <v>118.2</v>
      </c>
      <c r="J139" s="7" t="n">
        <v>469.7</v>
      </c>
    </row>
    <row r="140" customFormat="false" ht="15" hidden="false" customHeight="false" outlineLevel="0" collapsed="false">
      <c r="A140" s="6" t="s">
        <v>59</v>
      </c>
      <c r="B140" s="6" t="s">
        <v>60</v>
      </c>
      <c r="C140" s="6" t="s">
        <v>27</v>
      </c>
      <c r="D140" s="6" t="s">
        <v>148</v>
      </c>
      <c r="E140" s="6" t="s">
        <v>24</v>
      </c>
      <c r="F140" s="6" t="n">
        <v>38.05</v>
      </c>
      <c r="G140" s="7" t="n">
        <v>17.05</v>
      </c>
      <c r="H140" s="7" t="n">
        <v>648.75</v>
      </c>
      <c r="I140" s="7" t="n">
        <v>98.28</v>
      </c>
      <c r="J140" s="7" t="n">
        <v>550.47</v>
      </c>
    </row>
    <row r="141" customFormat="false" ht="15" hidden="false" customHeight="false" outlineLevel="0" collapsed="false">
      <c r="A141" s="6" t="s">
        <v>61</v>
      </c>
      <c r="B141" s="6" t="s">
        <v>62</v>
      </c>
      <c r="C141" s="6" t="s">
        <v>30</v>
      </c>
      <c r="D141" s="6" t="s">
        <v>148</v>
      </c>
      <c r="E141" s="6" t="s">
        <v>24</v>
      </c>
      <c r="F141" s="6" t="n">
        <v>38.46</v>
      </c>
      <c r="G141" s="7" t="n">
        <v>15.49</v>
      </c>
      <c r="H141" s="7" t="n">
        <v>595.75</v>
      </c>
      <c r="I141" s="7" t="n">
        <v>130.97</v>
      </c>
      <c r="J141" s="7" t="n">
        <v>464.78</v>
      </c>
    </row>
    <row r="142" customFormat="false" ht="15" hidden="false" customHeight="false" outlineLevel="0" collapsed="false">
      <c r="A142" s="6" t="s">
        <v>63</v>
      </c>
      <c r="B142" s="6" t="s">
        <v>64</v>
      </c>
      <c r="C142" s="6" t="s">
        <v>33</v>
      </c>
      <c r="D142" s="6" t="s">
        <v>148</v>
      </c>
      <c r="E142" s="6" t="s">
        <v>24</v>
      </c>
      <c r="F142" s="6" t="n">
        <v>37.75</v>
      </c>
      <c r="G142" s="7" t="n">
        <v>14.14</v>
      </c>
      <c r="H142" s="7" t="n">
        <v>533.78</v>
      </c>
      <c r="I142" s="7" t="n">
        <v>76.83</v>
      </c>
      <c r="J142" s="7" t="n">
        <v>456.95</v>
      </c>
    </row>
    <row r="143" customFormat="false" ht="15" hidden="false" customHeight="false" outlineLevel="0" collapsed="false">
      <c r="A143" s="6" t="s">
        <v>65</v>
      </c>
      <c r="B143" s="6" t="s">
        <v>66</v>
      </c>
      <c r="C143" s="6" t="s">
        <v>36</v>
      </c>
      <c r="D143" s="6" t="s">
        <v>148</v>
      </c>
      <c r="E143" s="6" t="s">
        <v>24</v>
      </c>
      <c r="F143" s="6" t="n">
        <v>34.53</v>
      </c>
      <c r="G143" s="7" t="n">
        <v>16.15</v>
      </c>
      <c r="H143" s="7" t="n">
        <v>557.66</v>
      </c>
      <c r="I143" s="7" t="n">
        <v>72.33</v>
      </c>
      <c r="J143" s="7" t="n">
        <v>485.33</v>
      </c>
    </row>
    <row r="144" customFormat="false" ht="15" hidden="false" customHeight="false" outlineLevel="0" collapsed="false">
      <c r="A144" s="6" t="s">
        <v>67</v>
      </c>
      <c r="B144" s="6" t="s">
        <v>68</v>
      </c>
      <c r="C144" s="6" t="s">
        <v>22</v>
      </c>
      <c r="D144" s="6" t="s">
        <v>148</v>
      </c>
      <c r="E144" s="6" t="s">
        <v>24</v>
      </c>
      <c r="F144" s="6" t="n">
        <v>36.64</v>
      </c>
      <c r="G144" s="7" t="n">
        <v>18.75</v>
      </c>
      <c r="H144" s="7" t="n">
        <v>687</v>
      </c>
      <c r="I144" s="7" t="n">
        <v>136.71</v>
      </c>
      <c r="J144" s="7" t="n">
        <v>550.29</v>
      </c>
    </row>
    <row r="145" customFormat="false" ht="15" hidden="false" customHeight="false" outlineLevel="0" collapsed="false">
      <c r="A145" s="6" t="s">
        <v>69</v>
      </c>
      <c r="B145" s="6" t="s">
        <v>70</v>
      </c>
      <c r="C145" s="6" t="s">
        <v>27</v>
      </c>
      <c r="D145" s="6" t="s">
        <v>148</v>
      </c>
      <c r="E145" s="6" t="s">
        <v>24</v>
      </c>
      <c r="F145" s="6" t="n">
        <v>22.52</v>
      </c>
      <c r="G145" s="7" t="n">
        <v>18.44</v>
      </c>
      <c r="H145" s="7" t="n">
        <v>415.27</v>
      </c>
      <c r="I145" s="7" t="n">
        <v>78.29</v>
      </c>
      <c r="J145" s="7" t="n">
        <v>336.98</v>
      </c>
    </row>
    <row r="146" customFormat="false" ht="15" hidden="false" customHeight="false" outlineLevel="0" collapsed="false">
      <c r="A146" s="6" t="s">
        <v>71</v>
      </c>
      <c r="B146" s="6" t="s">
        <v>72</v>
      </c>
      <c r="C146" s="6" t="s">
        <v>30</v>
      </c>
      <c r="D146" s="6" t="s">
        <v>148</v>
      </c>
      <c r="E146" s="6" t="s">
        <v>24</v>
      </c>
      <c r="F146" s="6" t="n">
        <v>20.36</v>
      </c>
      <c r="G146" s="7" t="n">
        <v>15.21</v>
      </c>
      <c r="H146" s="7" t="n">
        <v>309.68</v>
      </c>
      <c r="I146" s="7" t="n">
        <v>58.29</v>
      </c>
      <c r="J146" s="7" t="n">
        <v>251.39</v>
      </c>
    </row>
    <row r="147" customFormat="false" ht="15" hidden="false" customHeight="false" outlineLevel="0" collapsed="false">
      <c r="A147" s="6" t="s">
        <v>73</v>
      </c>
      <c r="B147" s="6" t="s">
        <v>74</v>
      </c>
      <c r="C147" s="6" t="s">
        <v>33</v>
      </c>
      <c r="D147" s="6" t="s">
        <v>148</v>
      </c>
      <c r="E147" s="6" t="s">
        <v>24</v>
      </c>
      <c r="F147" s="6" t="n">
        <v>38.23</v>
      </c>
      <c r="G147" s="7" t="n">
        <v>27.49</v>
      </c>
      <c r="H147" s="7" t="n">
        <v>1050.94</v>
      </c>
      <c r="I147" s="7" t="n">
        <v>138.24</v>
      </c>
      <c r="J147" s="7" t="n">
        <v>912.7</v>
      </c>
    </row>
    <row r="148" customFormat="false" ht="15" hidden="false" customHeight="false" outlineLevel="0" collapsed="false">
      <c r="A148" s="6" t="s">
        <v>75</v>
      </c>
      <c r="B148" s="6" t="s">
        <v>76</v>
      </c>
      <c r="C148" s="6" t="s">
        <v>36</v>
      </c>
      <c r="D148" s="6" t="s">
        <v>148</v>
      </c>
      <c r="E148" s="6" t="s">
        <v>24</v>
      </c>
      <c r="F148" s="6" t="n">
        <v>30.11</v>
      </c>
      <c r="G148" s="7" t="n">
        <v>24.13</v>
      </c>
      <c r="H148" s="7" t="n">
        <v>726.55</v>
      </c>
      <c r="I148" s="7" t="n">
        <v>123.72</v>
      </c>
      <c r="J148" s="7" t="n">
        <v>602.83</v>
      </c>
    </row>
    <row r="149" customFormat="false" ht="15" hidden="false" customHeight="false" outlineLevel="0" collapsed="false">
      <c r="A149" s="6" t="s">
        <v>77</v>
      </c>
      <c r="B149" s="6" t="s">
        <v>78</v>
      </c>
      <c r="C149" s="6" t="s">
        <v>22</v>
      </c>
      <c r="D149" s="6" t="s">
        <v>148</v>
      </c>
      <c r="E149" s="6" t="s">
        <v>24</v>
      </c>
      <c r="F149" s="6" t="n">
        <v>33.71</v>
      </c>
      <c r="G149" s="7" t="n">
        <v>15.02</v>
      </c>
      <c r="H149" s="7" t="n">
        <v>506.32</v>
      </c>
      <c r="I149" s="7" t="n">
        <v>64.33</v>
      </c>
      <c r="J149" s="7" t="n">
        <v>441.99</v>
      </c>
    </row>
    <row r="150" customFormat="false" ht="15" hidden="false" customHeight="false" outlineLevel="0" collapsed="false">
      <c r="A150" s="6" t="s">
        <v>79</v>
      </c>
      <c r="B150" s="6" t="s">
        <v>80</v>
      </c>
      <c r="C150" s="6" t="s">
        <v>27</v>
      </c>
      <c r="D150" s="6" t="s">
        <v>148</v>
      </c>
      <c r="E150" s="6" t="s">
        <v>24</v>
      </c>
      <c r="F150" s="6" t="n">
        <v>22.12</v>
      </c>
      <c r="G150" s="7" t="n">
        <v>12.6</v>
      </c>
      <c r="H150" s="7" t="n">
        <v>278.71</v>
      </c>
      <c r="I150" s="7" t="n">
        <v>48.82</v>
      </c>
      <c r="J150" s="7" t="n">
        <v>229.89</v>
      </c>
    </row>
    <row r="151" customFormat="false" ht="15" hidden="false" customHeight="false" outlineLevel="0" collapsed="false">
      <c r="A151" s="6" t="s">
        <v>81</v>
      </c>
      <c r="B151" s="6" t="s">
        <v>82</v>
      </c>
      <c r="C151" s="6" t="s">
        <v>30</v>
      </c>
      <c r="D151" s="6" t="s">
        <v>148</v>
      </c>
      <c r="E151" s="6" t="s">
        <v>24</v>
      </c>
      <c r="F151" s="6" t="n">
        <v>30.3</v>
      </c>
      <c r="G151" s="7" t="n">
        <v>21.1</v>
      </c>
      <c r="H151" s="7" t="n">
        <v>639.33</v>
      </c>
      <c r="I151" s="7" t="n">
        <v>86.09</v>
      </c>
      <c r="J151" s="7" t="n">
        <v>553.24</v>
      </c>
    </row>
    <row r="152" customFormat="false" ht="15" hidden="false" customHeight="false" outlineLevel="0" collapsed="false">
      <c r="A152" s="6" t="s">
        <v>83</v>
      </c>
      <c r="B152" s="6" t="s">
        <v>84</v>
      </c>
      <c r="C152" s="6" t="s">
        <v>33</v>
      </c>
      <c r="D152" s="6" t="s">
        <v>148</v>
      </c>
      <c r="E152" s="6" t="s">
        <v>24</v>
      </c>
      <c r="F152" s="6" t="n">
        <v>23.69</v>
      </c>
      <c r="G152" s="7" t="n">
        <v>15.26</v>
      </c>
      <c r="H152" s="7" t="n">
        <v>361.51</v>
      </c>
      <c r="I152" s="7" t="n">
        <v>73.76</v>
      </c>
      <c r="J152" s="7" t="n">
        <v>287.75</v>
      </c>
    </row>
    <row r="153" customFormat="false" ht="15" hidden="false" customHeight="false" outlineLevel="0" collapsed="false">
      <c r="A153" s="6" t="s">
        <v>85</v>
      </c>
      <c r="B153" s="6" t="s">
        <v>86</v>
      </c>
      <c r="C153" s="6" t="s">
        <v>36</v>
      </c>
      <c r="D153" s="6" t="s">
        <v>148</v>
      </c>
      <c r="E153" s="6" t="s">
        <v>24</v>
      </c>
      <c r="F153" s="6" t="n">
        <v>39.81</v>
      </c>
      <c r="G153" s="7" t="n">
        <v>26.83</v>
      </c>
      <c r="H153" s="7" t="n">
        <v>1068.1</v>
      </c>
      <c r="I153" s="7" t="n">
        <v>138.35</v>
      </c>
      <c r="J153" s="7" t="n">
        <v>929.75</v>
      </c>
    </row>
    <row r="154" customFormat="false" ht="15" hidden="false" customHeight="false" outlineLevel="0" collapsed="false">
      <c r="A154" s="6" t="s">
        <v>87</v>
      </c>
      <c r="B154" s="6" t="s">
        <v>88</v>
      </c>
      <c r="C154" s="6" t="s">
        <v>22</v>
      </c>
      <c r="D154" s="6" t="s">
        <v>148</v>
      </c>
      <c r="E154" s="6" t="s">
        <v>24</v>
      </c>
      <c r="F154" s="6" t="n">
        <v>21.24</v>
      </c>
      <c r="G154" s="7" t="n">
        <v>27.22</v>
      </c>
      <c r="H154" s="7" t="n">
        <v>578.15</v>
      </c>
      <c r="I154" s="7" t="n">
        <v>96.09</v>
      </c>
      <c r="J154" s="7" t="n">
        <v>482.06</v>
      </c>
    </row>
    <row r="155" customFormat="false" ht="15" hidden="false" customHeight="false" outlineLevel="0" collapsed="false">
      <c r="A155" s="6" t="s">
        <v>89</v>
      </c>
      <c r="B155" s="6" t="s">
        <v>90</v>
      </c>
      <c r="C155" s="6" t="s">
        <v>27</v>
      </c>
      <c r="D155" s="6" t="s">
        <v>148</v>
      </c>
      <c r="E155" s="6" t="s">
        <v>24</v>
      </c>
      <c r="F155" s="6" t="n">
        <v>35.29</v>
      </c>
      <c r="G155" s="7" t="n">
        <v>17.23</v>
      </c>
      <c r="H155" s="7" t="n">
        <v>608.05</v>
      </c>
      <c r="I155" s="7" t="n">
        <v>101.36</v>
      </c>
      <c r="J155" s="7" t="n">
        <v>506.69</v>
      </c>
    </row>
    <row r="156" customFormat="false" ht="15" hidden="false" customHeight="false" outlineLevel="0" collapsed="false">
      <c r="A156" s="6" t="s">
        <v>91</v>
      </c>
      <c r="B156" s="6" t="s">
        <v>92</v>
      </c>
      <c r="C156" s="6" t="s">
        <v>30</v>
      </c>
      <c r="D156" s="6" t="s">
        <v>148</v>
      </c>
      <c r="E156" s="6" t="s">
        <v>24</v>
      </c>
      <c r="F156" s="6" t="n">
        <v>30.31</v>
      </c>
      <c r="G156" s="7" t="n">
        <v>18.88</v>
      </c>
      <c r="H156" s="7" t="n">
        <v>572.25</v>
      </c>
      <c r="I156" s="7" t="n">
        <v>103.06</v>
      </c>
      <c r="J156" s="7" t="n">
        <v>469.19</v>
      </c>
    </row>
    <row r="157" customFormat="false" ht="15" hidden="false" customHeight="false" outlineLevel="0" collapsed="false">
      <c r="A157" s="6" t="s">
        <v>93</v>
      </c>
      <c r="B157" s="6" t="s">
        <v>94</v>
      </c>
      <c r="C157" s="6" t="s">
        <v>33</v>
      </c>
      <c r="D157" s="6" t="s">
        <v>148</v>
      </c>
      <c r="E157" s="6" t="s">
        <v>24</v>
      </c>
      <c r="F157" s="6" t="n">
        <v>20.26</v>
      </c>
      <c r="G157" s="7" t="n">
        <v>23.22</v>
      </c>
      <c r="H157" s="7" t="n">
        <v>470.44</v>
      </c>
      <c r="I157" s="7" t="n">
        <v>96.17</v>
      </c>
      <c r="J157" s="7" t="n">
        <v>374.27</v>
      </c>
    </row>
    <row r="158" customFormat="false" ht="15" hidden="false" customHeight="false" outlineLevel="0" collapsed="false">
      <c r="A158" s="6" t="s">
        <v>95</v>
      </c>
      <c r="B158" s="6" t="s">
        <v>96</v>
      </c>
      <c r="C158" s="6" t="s">
        <v>36</v>
      </c>
      <c r="D158" s="6" t="s">
        <v>148</v>
      </c>
      <c r="E158" s="6" t="s">
        <v>24</v>
      </c>
      <c r="F158" s="6" t="n">
        <v>23.63</v>
      </c>
      <c r="G158" s="7" t="n">
        <v>19.26</v>
      </c>
      <c r="H158" s="7" t="n">
        <v>455.11</v>
      </c>
      <c r="I158" s="7" t="n">
        <v>88.26</v>
      </c>
      <c r="J158" s="7" t="n">
        <v>366.85</v>
      </c>
    </row>
    <row r="159" customFormat="false" ht="15" hidden="false" customHeight="false" outlineLevel="0" collapsed="false">
      <c r="A159" s="6" t="s">
        <v>97</v>
      </c>
      <c r="B159" s="6" t="s">
        <v>98</v>
      </c>
      <c r="C159" s="6" t="s">
        <v>22</v>
      </c>
      <c r="D159" s="6" t="s">
        <v>148</v>
      </c>
      <c r="E159" s="6" t="s">
        <v>24</v>
      </c>
      <c r="F159" s="6" t="n">
        <v>28.11</v>
      </c>
      <c r="G159" s="7" t="n">
        <v>15.12</v>
      </c>
      <c r="H159" s="7" t="n">
        <v>425.02</v>
      </c>
      <c r="I159" s="7" t="n">
        <v>58.02</v>
      </c>
      <c r="J159" s="7" t="n">
        <v>367</v>
      </c>
    </row>
    <row r="160" customFormat="false" ht="15" hidden="false" customHeight="false" outlineLevel="0" collapsed="false">
      <c r="A160" s="6" t="s">
        <v>99</v>
      </c>
      <c r="B160" s="6" t="s">
        <v>100</v>
      </c>
      <c r="C160" s="6" t="s">
        <v>27</v>
      </c>
      <c r="D160" s="6" t="s">
        <v>148</v>
      </c>
      <c r="E160" s="6" t="s">
        <v>24</v>
      </c>
      <c r="F160" s="6" t="n">
        <v>30.25</v>
      </c>
      <c r="G160" s="7" t="n">
        <v>12.25</v>
      </c>
      <c r="H160" s="7" t="n">
        <v>370.56</v>
      </c>
      <c r="I160" s="7" t="n">
        <v>77.57</v>
      </c>
      <c r="J160" s="7" t="n">
        <v>292.99</v>
      </c>
    </row>
    <row r="161" customFormat="false" ht="15" hidden="false" customHeight="false" outlineLevel="0" collapsed="false">
      <c r="A161" s="6" t="s">
        <v>101</v>
      </c>
      <c r="B161" s="6" t="s">
        <v>102</v>
      </c>
      <c r="C161" s="6" t="s">
        <v>30</v>
      </c>
      <c r="D161" s="6" t="s">
        <v>148</v>
      </c>
      <c r="E161" s="6" t="s">
        <v>24</v>
      </c>
      <c r="F161" s="6" t="n">
        <v>36.03</v>
      </c>
      <c r="G161" s="7" t="n">
        <v>23.27</v>
      </c>
      <c r="H161" s="7" t="n">
        <v>838.42</v>
      </c>
      <c r="I161" s="7" t="n">
        <v>172.78</v>
      </c>
      <c r="J161" s="7" t="n">
        <v>665.64</v>
      </c>
    </row>
    <row r="162" customFormat="false" ht="15" hidden="false" customHeight="false" outlineLevel="0" collapsed="false">
      <c r="A162" s="6" t="s">
        <v>103</v>
      </c>
      <c r="B162" s="6" t="s">
        <v>104</v>
      </c>
      <c r="C162" s="6" t="s">
        <v>33</v>
      </c>
      <c r="D162" s="6" t="s">
        <v>148</v>
      </c>
      <c r="E162" s="6" t="s">
        <v>24</v>
      </c>
      <c r="F162" s="6" t="n">
        <v>32.59</v>
      </c>
      <c r="G162" s="7" t="n">
        <v>18.47</v>
      </c>
      <c r="H162" s="7" t="n">
        <v>601.94</v>
      </c>
      <c r="I162" s="7" t="n">
        <v>108.33</v>
      </c>
      <c r="J162" s="7" t="n">
        <v>493.61</v>
      </c>
    </row>
    <row r="163" customFormat="false" ht="15" hidden="false" customHeight="false" outlineLevel="0" collapsed="false">
      <c r="A163" s="6" t="s">
        <v>105</v>
      </c>
      <c r="B163" s="6" t="s">
        <v>106</v>
      </c>
      <c r="C163" s="6" t="s">
        <v>36</v>
      </c>
      <c r="D163" s="6" t="s">
        <v>148</v>
      </c>
      <c r="E163" s="6" t="s">
        <v>24</v>
      </c>
      <c r="F163" s="6" t="n">
        <v>30.09</v>
      </c>
      <c r="G163" s="7" t="n">
        <v>27.72</v>
      </c>
      <c r="H163" s="7" t="n">
        <v>834.09</v>
      </c>
      <c r="I163" s="7" t="n">
        <v>167.22</v>
      </c>
      <c r="J163" s="7" t="n">
        <v>666.87</v>
      </c>
    </row>
    <row r="164" customFormat="false" ht="15" hidden="false" customHeight="false" outlineLevel="0" collapsed="false">
      <c r="A164" s="6" t="s">
        <v>107</v>
      </c>
      <c r="B164" s="6" t="s">
        <v>108</v>
      </c>
      <c r="C164" s="6" t="s">
        <v>22</v>
      </c>
      <c r="D164" s="6" t="s">
        <v>148</v>
      </c>
      <c r="E164" s="6" t="s">
        <v>24</v>
      </c>
      <c r="F164" s="6" t="n">
        <v>25.17</v>
      </c>
      <c r="G164" s="7" t="n">
        <v>26.58</v>
      </c>
      <c r="H164" s="7" t="n">
        <v>669.02</v>
      </c>
      <c r="I164" s="7" t="n">
        <v>130.09</v>
      </c>
      <c r="J164" s="7" t="n">
        <v>538.93</v>
      </c>
    </row>
    <row r="165" customFormat="false" ht="15" hidden="false" customHeight="false" outlineLevel="0" collapsed="false">
      <c r="A165" s="6" t="s">
        <v>109</v>
      </c>
      <c r="B165" s="6" t="s">
        <v>110</v>
      </c>
      <c r="C165" s="6" t="s">
        <v>27</v>
      </c>
      <c r="D165" s="6" t="s">
        <v>148</v>
      </c>
      <c r="E165" s="6" t="s">
        <v>24</v>
      </c>
      <c r="F165" s="6" t="n">
        <v>35.56</v>
      </c>
      <c r="G165" s="7" t="n">
        <v>25.03</v>
      </c>
      <c r="H165" s="7" t="n">
        <v>890.07</v>
      </c>
      <c r="I165" s="7" t="n">
        <v>142.91</v>
      </c>
      <c r="J165" s="7" t="n">
        <v>747.16</v>
      </c>
    </row>
    <row r="166" customFormat="false" ht="15" hidden="false" customHeight="false" outlineLevel="0" collapsed="false">
      <c r="A166" s="6" t="s">
        <v>111</v>
      </c>
      <c r="B166" s="6" t="s">
        <v>112</v>
      </c>
      <c r="C166" s="6" t="s">
        <v>30</v>
      </c>
      <c r="D166" s="6" t="s">
        <v>148</v>
      </c>
      <c r="E166" s="6" t="s">
        <v>24</v>
      </c>
      <c r="F166" s="6" t="n">
        <v>37.93</v>
      </c>
      <c r="G166" s="7" t="n">
        <v>26.08</v>
      </c>
      <c r="H166" s="7" t="n">
        <v>989.21</v>
      </c>
      <c r="I166" s="7" t="n">
        <v>187.44</v>
      </c>
      <c r="J166" s="7" t="n">
        <v>801.77</v>
      </c>
    </row>
    <row r="167" customFormat="false" ht="15" hidden="false" customHeight="false" outlineLevel="0" collapsed="false">
      <c r="A167" s="6" t="s">
        <v>113</v>
      </c>
      <c r="B167" s="6" t="s">
        <v>114</v>
      </c>
      <c r="C167" s="6" t="s">
        <v>33</v>
      </c>
      <c r="D167" s="6" t="s">
        <v>148</v>
      </c>
      <c r="E167" s="6" t="s">
        <v>24</v>
      </c>
      <c r="F167" s="6" t="n">
        <v>35.35</v>
      </c>
      <c r="G167" s="7" t="n">
        <v>24.24</v>
      </c>
      <c r="H167" s="7" t="n">
        <v>856.88</v>
      </c>
      <c r="I167" s="7" t="n">
        <v>137.59</v>
      </c>
      <c r="J167" s="7" t="n">
        <v>719.29</v>
      </c>
    </row>
    <row r="168" customFormat="false" ht="15" hidden="false" customHeight="false" outlineLevel="0" collapsed="false">
      <c r="A168" s="6" t="s">
        <v>115</v>
      </c>
      <c r="B168" s="6" t="s">
        <v>116</v>
      </c>
      <c r="C168" s="6" t="s">
        <v>36</v>
      </c>
      <c r="D168" s="6" t="s">
        <v>148</v>
      </c>
      <c r="E168" s="6" t="s">
        <v>24</v>
      </c>
      <c r="F168" s="6" t="n">
        <v>34.45</v>
      </c>
      <c r="G168" s="7" t="n">
        <v>13.13</v>
      </c>
      <c r="H168" s="7" t="n">
        <v>452.33</v>
      </c>
      <c r="I168" s="7" t="n">
        <v>69.74</v>
      </c>
      <c r="J168" s="7" t="n">
        <v>382.59</v>
      </c>
    </row>
    <row r="169" customFormat="false" ht="15" hidden="false" customHeight="false" outlineLevel="0" collapsed="false">
      <c r="A169" s="6" t="s">
        <v>117</v>
      </c>
      <c r="B169" s="6" t="s">
        <v>118</v>
      </c>
      <c r="C169" s="6" t="s">
        <v>22</v>
      </c>
      <c r="D169" s="6" t="s">
        <v>148</v>
      </c>
      <c r="E169" s="6" t="s">
        <v>24</v>
      </c>
      <c r="F169" s="6" t="n">
        <v>29.38</v>
      </c>
      <c r="G169" s="7" t="n">
        <v>12.17</v>
      </c>
      <c r="H169" s="7" t="n">
        <v>357.55</v>
      </c>
      <c r="I169" s="7" t="n">
        <v>55.62</v>
      </c>
      <c r="J169" s="7" t="n">
        <v>301.93</v>
      </c>
    </row>
    <row r="170" customFormat="false" ht="15" hidden="false" customHeight="false" outlineLevel="0" collapsed="false">
      <c r="A170" s="6" t="s">
        <v>119</v>
      </c>
      <c r="B170" s="6" t="s">
        <v>120</v>
      </c>
      <c r="C170" s="6" t="s">
        <v>27</v>
      </c>
      <c r="D170" s="6" t="s">
        <v>148</v>
      </c>
      <c r="E170" s="6" t="s">
        <v>24</v>
      </c>
      <c r="F170" s="6" t="n">
        <v>32.77</v>
      </c>
      <c r="G170" s="7" t="n">
        <v>21.98</v>
      </c>
      <c r="H170" s="7" t="n">
        <v>720.28</v>
      </c>
      <c r="I170" s="7" t="n">
        <v>103.15</v>
      </c>
      <c r="J170" s="7" t="n">
        <v>617.13</v>
      </c>
    </row>
    <row r="171" customFormat="false" ht="15" hidden="false" customHeight="false" outlineLevel="0" collapsed="false">
      <c r="A171" s="6" t="s">
        <v>121</v>
      </c>
      <c r="B171" s="6" t="s">
        <v>122</v>
      </c>
      <c r="C171" s="6" t="s">
        <v>30</v>
      </c>
      <c r="D171" s="6" t="s">
        <v>148</v>
      </c>
      <c r="E171" s="6" t="s">
        <v>24</v>
      </c>
      <c r="F171" s="6" t="n">
        <v>38.89</v>
      </c>
      <c r="G171" s="7" t="n">
        <v>22.66</v>
      </c>
      <c r="H171" s="7" t="n">
        <v>881.25</v>
      </c>
      <c r="I171" s="7" t="n">
        <v>135.52</v>
      </c>
      <c r="J171" s="7" t="n">
        <v>745.73</v>
      </c>
    </row>
    <row r="172" customFormat="false" ht="15" hidden="false" customHeight="false" outlineLevel="0" collapsed="false">
      <c r="A172" s="6" t="s">
        <v>123</v>
      </c>
      <c r="B172" s="6" t="s">
        <v>124</v>
      </c>
      <c r="C172" s="6" t="s">
        <v>33</v>
      </c>
      <c r="D172" s="6" t="s">
        <v>148</v>
      </c>
      <c r="E172" s="6" t="s">
        <v>24</v>
      </c>
      <c r="F172" s="6" t="n">
        <v>33.2</v>
      </c>
      <c r="G172" s="7" t="n">
        <v>21.11</v>
      </c>
      <c r="H172" s="7" t="n">
        <v>700.85</v>
      </c>
      <c r="I172" s="7" t="n">
        <v>121.46</v>
      </c>
      <c r="J172" s="7" t="n">
        <v>579.39</v>
      </c>
    </row>
    <row r="173" customFormat="false" ht="15" hidden="false" customHeight="false" outlineLevel="0" collapsed="false">
      <c r="A173" s="6" t="s">
        <v>125</v>
      </c>
      <c r="B173" s="6" t="s">
        <v>126</v>
      </c>
      <c r="C173" s="6" t="s">
        <v>36</v>
      </c>
      <c r="D173" s="6" t="s">
        <v>148</v>
      </c>
      <c r="E173" s="6" t="s">
        <v>24</v>
      </c>
      <c r="F173" s="6" t="n">
        <v>27.79</v>
      </c>
      <c r="G173" s="7" t="n">
        <v>28</v>
      </c>
      <c r="H173" s="7" t="n">
        <v>778.12</v>
      </c>
      <c r="I173" s="7" t="n">
        <v>143.35</v>
      </c>
      <c r="J173" s="7" t="n">
        <v>634.77</v>
      </c>
    </row>
    <row r="174" customFormat="false" ht="15" hidden="false" customHeight="false" outlineLevel="0" collapsed="false">
      <c r="A174" s="6" t="s">
        <v>127</v>
      </c>
      <c r="B174" s="6" t="s">
        <v>128</v>
      </c>
      <c r="C174" s="6" t="s">
        <v>22</v>
      </c>
      <c r="D174" s="6" t="s">
        <v>148</v>
      </c>
      <c r="E174" s="6" t="s">
        <v>24</v>
      </c>
      <c r="F174" s="6" t="n">
        <v>34.03</v>
      </c>
      <c r="G174" s="7" t="n">
        <v>24.19</v>
      </c>
      <c r="H174" s="7" t="n">
        <v>823.19</v>
      </c>
      <c r="I174" s="7" t="n">
        <v>179.46</v>
      </c>
      <c r="J174" s="7" t="n">
        <v>643.73</v>
      </c>
    </row>
    <row r="175" customFormat="false" ht="15" hidden="false" customHeight="false" outlineLevel="0" collapsed="false">
      <c r="A175" s="6" t="s">
        <v>129</v>
      </c>
      <c r="B175" s="6" t="s">
        <v>130</v>
      </c>
      <c r="C175" s="6" t="s">
        <v>27</v>
      </c>
      <c r="D175" s="6" t="s">
        <v>148</v>
      </c>
      <c r="E175" s="6" t="s">
        <v>24</v>
      </c>
      <c r="F175" s="6" t="n">
        <v>20.46</v>
      </c>
      <c r="G175" s="7" t="n">
        <v>21.85</v>
      </c>
      <c r="H175" s="7" t="n">
        <v>447.05</v>
      </c>
      <c r="I175" s="7" t="n">
        <v>86.67</v>
      </c>
      <c r="J175" s="7" t="n">
        <v>360.38</v>
      </c>
    </row>
    <row r="176" customFormat="false" ht="15" hidden="false" customHeight="false" outlineLevel="0" collapsed="false">
      <c r="A176" s="6" t="s">
        <v>131</v>
      </c>
      <c r="B176" s="6" t="s">
        <v>132</v>
      </c>
      <c r="C176" s="6" t="s">
        <v>30</v>
      </c>
      <c r="D176" s="6" t="s">
        <v>148</v>
      </c>
      <c r="E176" s="6" t="s">
        <v>24</v>
      </c>
      <c r="F176" s="6" t="n">
        <v>25.13</v>
      </c>
      <c r="G176" s="7" t="n">
        <v>18.42</v>
      </c>
      <c r="H176" s="7" t="n">
        <v>462.89</v>
      </c>
      <c r="I176" s="7" t="n">
        <v>57.88</v>
      </c>
      <c r="J176" s="7" t="n">
        <v>405.01</v>
      </c>
    </row>
    <row r="177" customFormat="false" ht="15" hidden="false" customHeight="false" outlineLevel="0" collapsed="false">
      <c r="A177" s="6" t="s">
        <v>133</v>
      </c>
      <c r="B177" s="6" t="s">
        <v>134</v>
      </c>
      <c r="C177" s="6" t="s">
        <v>33</v>
      </c>
      <c r="D177" s="6" t="s">
        <v>148</v>
      </c>
      <c r="E177" s="6" t="s">
        <v>24</v>
      </c>
      <c r="F177" s="6" t="n">
        <v>23.91</v>
      </c>
      <c r="G177" s="7" t="n">
        <v>18.01</v>
      </c>
      <c r="H177" s="7" t="n">
        <v>430.62</v>
      </c>
      <c r="I177" s="7" t="n">
        <v>55.91</v>
      </c>
      <c r="J177" s="7" t="n">
        <v>374.71</v>
      </c>
    </row>
    <row r="178" customFormat="false" ht="15" hidden="false" customHeight="false" outlineLevel="0" collapsed="false">
      <c r="A178" s="6" t="s">
        <v>135</v>
      </c>
      <c r="B178" s="6" t="s">
        <v>136</v>
      </c>
      <c r="C178" s="6" t="s">
        <v>36</v>
      </c>
      <c r="D178" s="6" t="s">
        <v>148</v>
      </c>
      <c r="E178" s="6" t="s">
        <v>24</v>
      </c>
      <c r="F178" s="6" t="n">
        <v>25.02</v>
      </c>
      <c r="G178" s="7" t="n">
        <v>26.49</v>
      </c>
      <c r="H178" s="7" t="n">
        <v>662.78</v>
      </c>
      <c r="I178" s="7" t="n">
        <v>115.99</v>
      </c>
      <c r="J178" s="7" t="n">
        <v>546.79</v>
      </c>
    </row>
    <row r="179" customFormat="false" ht="15" hidden="false" customHeight="false" outlineLevel="0" collapsed="false">
      <c r="A179" s="6" t="s">
        <v>137</v>
      </c>
      <c r="B179" s="6" t="s">
        <v>138</v>
      </c>
      <c r="C179" s="6" t="s">
        <v>22</v>
      </c>
      <c r="D179" s="6" t="s">
        <v>148</v>
      </c>
      <c r="E179" s="6" t="s">
        <v>24</v>
      </c>
      <c r="F179" s="6" t="n">
        <v>30.16</v>
      </c>
      <c r="G179" s="7" t="n">
        <v>27.47</v>
      </c>
      <c r="H179" s="7" t="n">
        <v>828.5</v>
      </c>
      <c r="I179" s="7" t="n">
        <v>146.48</v>
      </c>
      <c r="J179" s="7" t="n">
        <v>682.02</v>
      </c>
    </row>
    <row r="180" customFormat="false" ht="15" hidden="false" customHeight="false" outlineLevel="0" collapsed="false">
      <c r="A180" s="6" t="s">
        <v>139</v>
      </c>
      <c r="B180" s="6" t="s">
        <v>140</v>
      </c>
      <c r="C180" s="6" t="s">
        <v>27</v>
      </c>
      <c r="D180" s="6" t="s">
        <v>148</v>
      </c>
      <c r="E180" s="6" t="s">
        <v>24</v>
      </c>
      <c r="F180" s="6" t="n">
        <v>39.9</v>
      </c>
      <c r="G180" s="7" t="n">
        <v>22.21</v>
      </c>
      <c r="H180" s="7" t="n">
        <v>886.18</v>
      </c>
      <c r="I180" s="7" t="n">
        <v>178.08</v>
      </c>
      <c r="J180" s="7" t="n">
        <v>708.1</v>
      </c>
    </row>
    <row r="181" customFormat="false" ht="15" hidden="false" customHeight="false" outlineLevel="0" collapsed="false">
      <c r="A181" s="6" t="s">
        <v>141</v>
      </c>
      <c r="B181" s="6" t="s">
        <v>142</v>
      </c>
      <c r="C181" s="6" t="s">
        <v>30</v>
      </c>
      <c r="D181" s="6" t="s">
        <v>148</v>
      </c>
      <c r="E181" s="6" t="s">
        <v>24</v>
      </c>
      <c r="F181" s="6" t="n">
        <v>21.52</v>
      </c>
      <c r="G181" s="7" t="n">
        <v>21.56</v>
      </c>
      <c r="H181" s="7" t="n">
        <v>463.97</v>
      </c>
      <c r="I181" s="7" t="n">
        <v>90.9</v>
      </c>
      <c r="J181" s="7" t="n">
        <v>373.07</v>
      </c>
    </row>
    <row r="182" customFormat="false" ht="15" hidden="false" customHeight="false" outlineLevel="0" collapsed="false">
      <c r="A182" s="6" t="s">
        <v>143</v>
      </c>
      <c r="B182" s="6" t="s">
        <v>144</v>
      </c>
      <c r="C182" s="6" t="s">
        <v>33</v>
      </c>
      <c r="D182" s="6" t="s">
        <v>148</v>
      </c>
      <c r="E182" s="6" t="s">
        <v>24</v>
      </c>
      <c r="F182" s="6" t="n">
        <v>20.9</v>
      </c>
      <c r="G182" s="7" t="n">
        <v>26.88</v>
      </c>
      <c r="H182" s="7" t="n">
        <v>561.79</v>
      </c>
      <c r="I182" s="7" t="n">
        <v>76.4</v>
      </c>
      <c r="J182" s="7" t="n">
        <v>485.39</v>
      </c>
    </row>
    <row r="183" customFormat="false" ht="15" hidden="false" customHeight="false" outlineLevel="0" collapsed="false">
      <c r="A183" s="6" t="s">
        <v>145</v>
      </c>
      <c r="B183" s="6" t="s">
        <v>146</v>
      </c>
      <c r="C183" s="6" t="s">
        <v>36</v>
      </c>
      <c r="D183" s="6" t="s">
        <v>148</v>
      </c>
      <c r="E183" s="6" t="s">
        <v>24</v>
      </c>
      <c r="F183" s="6" t="n">
        <v>29.44</v>
      </c>
      <c r="G183" s="7" t="n">
        <v>14.71</v>
      </c>
      <c r="H183" s="7" t="n">
        <v>433.06</v>
      </c>
      <c r="I183" s="7" t="n">
        <v>73.43</v>
      </c>
      <c r="J183" s="7" t="n">
        <v>359.63</v>
      </c>
    </row>
    <row r="184" customFormat="false" ht="15" hidden="false" customHeight="false" outlineLevel="0" collapsed="false">
      <c r="A184" s="6" t="s">
        <v>20</v>
      </c>
      <c r="B184" s="6" t="s">
        <v>21</v>
      </c>
      <c r="C184" s="6" t="s">
        <v>22</v>
      </c>
      <c r="D184" s="6" t="s">
        <v>149</v>
      </c>
      <c r="E184" s="6" t="s">
        <v>24</v>
      </c>
      <c r="F184" s="6" t="n">
        <v>32.22</v>
      </c>
      <c r="G184" s="7" t="n">
        <v>12.94</v>
      </c>
      <c r="H184" s="7" t="n">
        <v>416.93</v>
      </c>
      <c r="I184" s="7" t="n">
        <v>89.44</v>
      </c>
      <c r="J184" s="7" t="n">
        <v>327.49</v>
      </c>
    </row>
    <row r="185" customFormat="false" ht="15" hidden="false" customHeight="false" outlineLevel="0" collapsed="false">
      <c r="A185" s="6" t="s">
        <v>25</v>
      </c>
      <c r="B185" s="6" t="s">
        <v>26</v>
      </c>
      <c r="C185" s="6" t="s">
        <v>27</v>
      </c>
      <c r="D185" s="6" t="s">
        <v>149</v>
      </c>
      <c r="E185" s="6" t="s">
        <v>24</v>
      </c>
      <c r="F185" s="6" t="n">
        <v>28.41</v>
      </c>
      <c r="G185" s="7" t="n">
        <v>20.43</v>
      </c>
      <c r="H185" s="7" t="n">
        <v>580.42</v>
      </c>
      <c r="I185" s="7" t="n">
        <v>104.35</v>
      </c>
      <c r="J185" s="7" t="n">
        <v>476.07</v>
      </c>
    </row>
    <row r="186" customFormat="false" ht="15" hidden="false" customHeight="false" outlineLevel="0" collapsed="false">
      <c r="A186" s="6" t="s">
        <v>28</v>
      </c>
      <c r="B186" s="6" t="s">
        <v>29</v>
      </c>
      <c r="C186" s="6" t="s">
        <v>30</v>
      </c>
      <c r="D186" s="6" t="s">
        <v>149</v>
      </c>
      <c r="E186" s="6" t="s">
        <v>24</v>
      </c>
      <c r="F186" s="6" t="n">
        <v>27.31</v>
      </c>
      <c r="G186" s="7" t="n">
        <v>16.57</v>
      </c>
      <c r="H186" s="7" t="n">
        <v>452.53</v>
      </c>
      <c r="I186" s="7" t="n">
        <v>83.95</v>
      </c>
      <c r="J186" s="7" t="n">
        <v>368.58</v>
      </c>
    </row>
    <row r="187" customFormat="false" ht="15" hidden="false" customHeight="false" outlineLevel="0" collapsed="false">
      <c r="A187" s="6" t="s">
        <v>31</v>
      </c>
      <c r="B187" s="6" t="s">
        <v>32</v>
      </c>
      <c r="C187" s="6" t="s">
        <v>33</v>
      </c>
      <c r="D187" s="6" t="s">
        <v>149</v>
      </c>
      <c r="E187" s="6" t="s">
        <v>24</v>
      </c>
      <c r="F187" s="6" t="n">
        <v>31.21</v>
      </c>
      <c r="G187" s="7" t="n">
        <v>16.54</v>
      </c>
      <c r="H187" s="7" t="n">
        <v>516.21</v>
      </c>
      <c r="I187" s="7" t="n">
        <v>98.94</v>
      </c>
      <c r="J187" s="7" t="n">
        <v>417.27</v>
      </c>
    </row>
    <row r="188" customFormat="false" ht="15" hidden="false" customHeight="false" outlineLevel="0" collapsed="false">
      <c r="A188" s="6" t="s">
        <v>34</v>
      </c>
      <c r="B188" s="6" t="s">
        <v>35</v>
      </c>
      <c r="C188" s="6" t="s">
        <v>36</v>
      </c>
      <c r="D188" s="6" t="s">
        <v>149</v>
      </c>
      <c r="E188" s="6" t="s">
        <v>24</v>
      </c>
      <c r="F188" s="6" t="n">
        <v>25.92</v>
      </c>
      <c r="G188" s="7" t="n">
        <v>12.22</v>
      </c>
      <c r="H188" s="7" t="n">
        <v>316.74</v>
      </c>
      <c r="I188" s="7" t="n">
        <v>45.77</v>
      </c>
      <c r="J188" s="7" t="n">
        <v>270.97</v>
      </c>
    </row>
    <row r="189" customFormat="false" ht="15" hidden="false" customHeight="false" outlineLevel="0" collapsed="false">
      <c r="A189" s="6" t="s">
        <v>37</v>
      </c>
      <c r="B189" s="6" t="s">
        <v>38</v>
      </c>
      <c r="C189" s="6" t="s">
        <v>22</v>
      </c>
      <c r="D189" s="6" t="s">
        <v>149</v>
      </c>
      <c r="E189" s="6" t="s">
        <v>24</v>
      </c>
      <c r="F189" s="6" t="n">
        <v>20.86</v>
      </c>
      <c r="G189" s="7" t="n">
        <v>14.51</v>
      </c>
      <c r="H189" s="7" t="n">
        <v>302.68</v>
      </c>
      <c r="I189" s="7" t="n">
        <v>59.16</v>
      </c>
      <c r="J189" s="7" t="n">
        <v>243.52</v>
      </c>
    </row>
    <row r="190" customFormat="false" ht="15" hidden="false" customHeight="false" outlineLevel="0" collapsed="false">
      <c r="A190" s="6" t="s">
        <v>39</v>
      </c>
      <c r="B190" s="6" t="s">
        <v>40</v>
      </c>
      <c r="C190" s="6" t="s">
        <v>27</v>
      </c>
      <c r="D190" s="6" t="s">
        <v>149</v>
      </c>
      <c r="E190" s="6" t="s">
        <v>24</v>
      </c>
      <c r="F190" s="6" t="n">
        <v>27.8</v>
      </c>
      <c r="G190" s="7" t="n">
        <v>26.36</v>
      </c>
      <c r="H190" s="7" t="n">
        <v>732.81</v>
      </c>
      <c r="I190" s="7" t="n">
        <v>142.78</v>
      </c>
      <c r="J190" s="7" t="n">
        <v>590.03</v>
      </c>
    </row>
    <row r="191" customFormat="false" ht="15" hidden="false" customHeight="false" outlineLevel="0" collapsed="false">
      <c r="A191" s="6" t="s">
        <v>41</v>
      </c>
      <c r="B191" s="6" t="s">
        <v>42</v>
      </c>
      <c r="C191" s="6" t="s">
        <v>30</v>
      </c>
      <c r="D191" s="6" t="s">
        <v>149</v>
      </c>
      <c r="E191" s="6" t="s">
        <v>24</v>
      </c>
      <c r="F191" s="6" t="n">
        <v>21</v>
      </c>
      <c r="G191" s="7" t="n">
        <v>27.82</v>
      </c>
      <c r="H191" s="7" t="n">
        <v>584.22</v>
      </c>
      <c r="I191" s="7" t="n">
        <v>125.28</v>
      </c>
      <c r="J191" s="7" t="n">
        <v>458.94</v>
      </c>
    </row>
    <row r="192" customFormat="false" ht="15" hidden="false" customHeight="false" outlineLevel="0" collapsed="false">
      <c r="A192" s="6" t="s">
        <v>43</v>
      </c>
      <c r="B192" s="6" t="s">
        <v>44</v>
      </c>
      <c r="C192" s="6" t="s">
        <v>33</v>
      </c>
      <c r="D192" s="6" t="s">
        <v>149</v>
      </c>
      <c r="E192" s="6" t="s">
        <v>24</v>
      </c>
      <c r="F192" s="6" t="n">
        <v>21.47</v>
      </c>
      <c r="G192" s="7" t="n">
        <v>26.49</v>
      </c>
      <c r="H192" s="7" t="n">
        <v>568.74</v>
      </c>
      <c r="I192" s="7" t="n">
        <v>92.68</v>
      </c>
      <c r="J192" s="7" t="n">
        <v>476.06</v>
      </c>
    </row>
    <row r="193" customFormat="false" ht="15" hidden="false" customHeight="false" outlineLevel="0" collapsed="false">
      <c r="A193" s="6" t="s">
        <v>45</v>
      </c>
      <c r="B193" s="6" t="s">
        <v>46</v>
      </c>
      <c r="C193" s="6" t="s">
        <v>36</v>
      </c>
      <c r="D193" s="6" t="s">
        <v>149</v>
      </c>
      <c r="E193" s="6" t="s">
        <v>24</v>
      </c>
      <c r="F193" s="6" t="n">
        <v>29.55</v>
      </c>
      <c r="G193" s="7" t="n">
        <v>27.57</v>
      </c>
      <c r="H193" s="7" t="n">
        <v>814.69</v>
      </c>
      <c r="I193" s="7" t="n">
        <v>117.62</v>
      </c>
      <c r="J193" s="7" t="n">
        <v>697.07</v>
      </c>
    </row>
    <row r="194" customFormat="false" ht="15" hidden="false" customHeight="false" outlineLevel="0" collapsed="false">
      <c r="A194" s="6" t="s">
        <v>47</v>
      </c>
      <c r="B194" s="6" t="s">
        <v>48</v>
      </c>
      <c r="C194" s="6" t="s">
        <v>22</v>
      </c>
      <c r="D194" s="6" t="s">
        <v>149</v>
      </c>
      <c r="E194" s="6" t="s">
        <v>24</v>
      </c>
      <c r="F194" s="6" t="n">
        <v>30.47</v>
      </c>
      <c r="G194" s="7" t="n">
        <v>27</v>
      </c>
      <c r="H194" s="7" t="n">
        <v>822.69</v>
      </c>
      <c r="I194" s="7" t="n">
        <v>158.18</v>
      </c>
      <c r="J194" s="7" t="n">
        <v>664.51</v>
      </c>
    </row>
    <row r="195" customFormat="false" ht="15" hidden="false" customHeight="false" outlineLevel="0" collapsed="false">
      <c r="A195" s="6" t="s">
        <v>49</v>
      </c>
      <c r="B195" s="6" t="s">
        <v>50</v>
      </c>
      <c r="C195" s="6" t="s">
        <v>27</v>
      </c>
      <c r="D195" s="6" t="s">
        <v>149</v>
      </c>
      <c r="E195" s="6" t="s">
        <v>24</v>
      </c>
      <c r="F195" s="6" t="n">
        <v>29.37</v>
      </c>
      <c r="G195" s="7" t="n">
        <v>27.66</v>
      </c>
      <c r="H195" s="7" t="n">
        <v>812.37</v>
      </c>
      <c r="I195" s="7" t="n">
        <v>163.83</v>
      </c>
      <c r="J195" s="7" t="n">
        <v>648.54</v>
      </c>
    </row>
    <row r="196" customFormat="false" ht="15" hidden="false" customHeight="false" outlineLevel="0" collapsed="false">
      <c r="A196" s="6" t="s">
        <v>51</v>
      </c>
      <c r="B196" s="6" t="s">
        <v>52</v>
      </c>
      <c r="C196" s="6" t="s">
        <v>30</v>
      </c>
      <c r="D196" s="6" t="s">
        <v>149</v>
      </c>
      <c r="E196" s="6" t="s">
        <v>24</v>
      </c>
      <c r="F196" s="6" t="n">
        <v>32.07</v>
      </c>
      <c r="G196" s="7" t="n">
        <v>13.84</v>
      </c>
      <c r="H196" s="7" t="n">
        <v>443.85</v>
      </c>
      <c r="I196" s="7" t="n">
        <v>80.97</v>
      </c>
      <c r="J196" s="7" t="n">
        <v>362.88</v>
      </c>
    </row>
    <row r="197" customFormat="false" ht="15" hidden="false" customHeight="false" outlineLevel="0" collapsed="false">
      <c r="A197" s="6" t="s">
        <v>53</v>
      </c>
      <c r="B197" s="6" t="s">
        <v>54</v>
      </c>
      <c r="C197" s="6" t="s">
        <v>33</v>
      </c>
      <c r="D197" s="6" t="s">
        <v>149</v>
      </c>
      <c r="E197" s="6" t="s">
        <v>24</v>
      </c>
      <c r="F197" s="6" t="n">
        <v>29.11</v>
      </c>
      <c r="G197" s="7" t="n">
        <v>15.26</v>
      </c>
      <c r="H197" s="7" t="n">
        <v>444.22</v>
      </c>
      <c r="I197" s="7" t="n">
        <v>55.62</v>
      </c>
      <c r="J197" s="7" t="n">
        <v>388.6</v>
      </c>
    </row>
    <row r="198" customFormat="false" ht="15" hidden="false" customHeight="false" outlineLevel="0" collapsed="false">
      <c r="A198" s="6" t="s">
        <v>55</v>
      </c>
      <c r="B198" s="6" t="s">
        <v>56</v>
      </c>
      <c r="C198" s="6" t="s">
        <v>36</v>
      </c>
      <c r="D198" s="6" t="s">
        <v>149</v>
      </c>
      <c r="E198" s="6" t="s">
        <v>24</v>
      </c>
      <c r="F198" s="6" t="n">
        <v>30.56</v>
      </c>
      <c r="G198" s="7" t="n">
        <v>13.99</v>
      </c>
      <c r="H198" s="7" t="n">
        <v>427.53</v>
      </c>
      <c r="I198" s="7" t="n">
        <v>70.24</v>
      </c>
      <c r="J198" s="7" t="n">
        <v>357.29</v>
      </c>
    </row>
    <row r="199" customFormat="false" ht="15" hidden="false" customHeight="false" outlineLevel="0" collapsed="false">
      <c r="A199" s="6" t="s">
        <v>57</v>
      </c>
      <c r="B199" s="6" t="s">
        <v>58</v>
      </c>
      <c r="C199" s="6" t="s">
        <v>22</v>
      </c>
      <c r="D199" s="6" t="s">
        <v>149</v>
      </c>
      <c r="E199" s="6" t="s">
        <v>24</v>
      </c>
      <c r="F199" s="6" t="n">
        <v>33.36</v>
      </c>
      <c r="G199" s="7" t="n">
        <v>19.29</v>
      </c>
      <c r="H199" s="7" t="n">
        <v>643.51</v>
      </c>
      <c r="I199" s="7" t="n">
        <v>94.09</v>
      </c>
      <c r="J199" s="7" t="n">
        <v>549.42</v>
      </c>
    </row>
    <row r="200" customFormat="false" ht="15" hidden="false" customHeight="false" outlineLevel="0" collapsed="false">
      <c r="A200" s="6" t="s">
        <v>59</v>
      </c>
      <c r="B200" s="6" t="s">
        <v>60</v>
      </c>
      <c r="C200" s="6" t="s">
        <v>27</v>
      </c>
      <c r="D200" s="6" t="s">
        <v>149</v>
      </c>
      <c r="E200" s="6" t="s">
        <v>24</v>
      </c>
      <c r="F200" s="6" t="n">
        <v>31.64</v>
      </c>
      <c r="G200" s="7" t="n">
        <v>18.71</v>
      </c>
      <c r="H200" s="7" t="n">
        <v>591.98</v>
      </c>
      <c r="I200" s="7" t="n">
        <v>117.09</v>
      </c>
      <c r="J200" s="7" t="n">
        <v>474.89</v>
      </c>
    </row>
    <row r="201" customFormat="false" ht="15" hidden="false" customHeight="false" outlineLevel="0" collapsed="false">
      <c r="A201" s="6" t="s">
        <v>61</v>
      </c>
      <c r="B201" s="6" t="s">
        <v>62</v>
      </c>
      <c r="C201" s="6" t="s">
        <v>30</v>
      </c>
      <c r="D201" s="6" t="s">
        <v>149</v>
      </c>
      <c r="E201" s="6" t="s">
        <v>24</v>
      </c>
      <c r="F201" s="6" t="n">
        <v>30.62</v>
      </c>
      <c r="G201" s="7" t="n">
        <v>27.96</v>
      </c>
      <c r="H201" s="7" t="n">
        <v>856.14</v>
      </c>
      <c r="I201" s="7" t="n">
        <v>184.3</v>
      </c>
      <c r="J201" s="7" t="n">
        <v>671.84</v>
      </c>
    </row>
    <row r="202" customFormat="false" ht="15" hidden="false" customHeight="false" outlineLevel="0" collapsed="false">
      <c r="A202" s="6" t="s">
        <v>63</v>
      </c>
      <c r="B202" s="6" t="s">
        <v>64</v>
      </c>
      <c r="C202" s="6" t="s">
        <v>33</v>
      </c>
      <c r="D202" s="6" t="s">
        <v>149</v>
      </c>
      <c r="E202" s="6" t="s">
        <v>24</v>
      </c>
      <c r="F202" s="6" t="n">
        <v>34.69</v>
      </c>
      <c r="G202" s="7" t="n">
        <v>15.81</v>
      </c>
      <c r="H202" s="7" t="n">
        <v>548.45</v>
      </c>
      <c r="I202" s="7" t="n">
        <v>72.06</v>
      </c>
      <c r="J202" s="7" t="n">
        <v>476.39</v>
      </c>
    </row>
    <row r="203" customFormat="false" ht="15" hidden="false" customHeight="false" outlineLevel="0" collapsed="false">
      <c r="A203" s="6" t="s">
        <v>65</v>
      </c>
      <c r="B203" s="6" t="s">
        <v>66</v>
      </c>
      <c r="C203" s="6" t="s">
        <v>36</v>
      </c>
      <c r="D203" s="6" t="s">
        <v>149</v>
      </c>
      <c r="E203" s="6" t="s">
        <v>24</v>
      </c>
      <c r="F203" s="6" t="n">
        <v>37.85</v>
      </c>
      <c r="G203" s="7" t="n">
        <v>24.55</v>
      </c>
      <c r="H203" s="7" t="n">
        <v>929.22</v>
      </c>
      <c r="I203" s="7" t="n">
        <v>169.58</v>
      </c>
      <c r="J203" s="7" t="n">
        <v>759.64</v>
      </c>
    </row>
    <row r="204" customFormat="false" ht="15" hidden="false" customHeight="false" outlineLevel="0" collapsed="false">
      <c r="A204" s="6" t="s">
        <v>67</v>
      </c>
      <c r="B204" s="6" t="s">
        <v>68</v>
      </c>
      <c r="C204" s="6" t="s">
        <v>22</v>
      </c>
      <c r="D204" s="6" t="s">
        <v>149</v>
      </c>
      <c r="E204" s="6" t="s">
        <v>24</v>
      </c>
      <c r="F204" s="6" t="n">
        <v>27.18</v>
      </c>
      <c r="G204" s="7" t="n">
        <v>16.34</v>
      </c>
      <c r="H204" s="7" t="n">
        <v>444.12</v>
      </c>
      <c r="I204" s="7" t="n">
        <v>83.72</v>
      </c>
      <c r="J204" s="7" t="n">
        <v>360.4</v>
      </c>
    </row>
    <row r="205" customFormat="false" ht="15" hidden="false" customHeight="false" outlineLevel="0" collapsed="false">
      <c r="A205" s="6" t="s">
        <v>69</v>
      </c>
      <c r="B205" s="6" t="s">
        <v>70</v>
      </c>
      <c r="C205" s="6" t="s">
        <v>27</v>
      </c>
      <c r="D205" s="6" t="s">
        <v>149</v>
      </c>
      <c r="E205" s="6" t="s">
        <v>24</v>
      </c>
      <c r="F205" s="6" t="n">
        <v>31.3</v>
      </c>
      <c r="G205" s="7" t="n">
        <v>21.47</v>
      </c>
      <c r="H205" s="7" t="n">
        <v>672.01</v>
      </c>
      <c r="I205" s="7" t="n">
        <v>123.19</v>
      </c>
      <c r="J205" s="7" t="n">
        <v>548.82</v>
      </c>
    </row>
    <row r="206" customFormat="false" ht="15" hidden="false" customHeight="false" outlineLevel="0" collapsed="false">
      <c r="A206" s="6" t="s">
        <v>71</v>
      </c>
      <c r="B206" s="6" t="s">
        <v>72</v>
      </c>
      <c r="C206" s="6" t="s">
        <v>30</v>
      </c>
      <c r="D206" s="6" t="s">
        <v>149</v>
      </c>
      <c r="E206" s="6" t="s">
        <v>24</v>
      </c>
      <c r="F206" s="6" t="n">
        <v>35.07</v>
      </c>
      <c r="G206" s="7" t="n">
        <v>15.04</v>
      </c>
      <c r="H206" s="7" t="n">
        <v>527.45</v>
      </c>
      <c r="I206" s="7" t="n">
        <v>76.43</v>
      </c>
      <c r="J206" s="7" t="n">
        <v>451.02</v>
      </c>
    </row>
    <row r="207" customFormat="false" ht="15" hidden="false" customHeight="false" outlineLevel="0" collapsed="false">
      <c r="A207" s="6" t="s">
        <v>73</v>
      </c>
      <c r="B207" s="6" t="s">
        <v>74</v>
      </c>
      <c r="C207" s="6" t="s">
        <v>33</v>
      </c>
      <c r="D207" s="6" t="s">
        <v>149</v>
      </c>
      <c r="E207" s="6" t="s">
        <v>24</v>
      </c>
      <c r="F207" s="6" t="n">
        <v>39.59</v>
      </c>
      <c r="G207" s="7" t="n">
        <v>26.65</v>
      </c>
      <c r="H207" s="7" t="n">
        <v>1055.07</v>
      </c>
      <c r="I207" s="7" t="n">
        <v>219.33</v>
      </c>
      <c r="J207" s="7" t="n">
        <v>835.74</v>
      </c>
    </row>
    <row r="208" customFormat="false" ht="15" hidden="false" customHeight="false" outlineLevel="0" collapsed="false">
      <c r="A208" s="6" t="s">
        <v>75</v>
      </c>
      <c r="B208" s="6" t="s">
        <v>76</v>
      </c>
      <c r="C208" s="6" t="s">
        <v>36</v>
      </c>
      <c r="D208" s="6" t="s">
        <v>149</v>
      </c>
      <c r="E208" s="6" t="s">
        <v>24</v>
      </c>
      <c r="F208" s="6" t="n">
        <v>20.79</v>
      </c>
      <c r="G208" s="7" t="n">
        <v>12.97</v>
      </c>
      <c r="H208" s="7" t="n">
        <v>269.65</v>
      </c>
      <c r="I208" s="7" t="n">
        <v>39.66</v>
      </c>
      <c r="J208" s="7" t="n">
        <v>229.99</v>
      </c>
    </row>
    <row r="209" customFormat="false" ht="15" hidden="false" customHeight="false" outlineLevel="0" collapsed="false">
      <c r="A209" s="6" t="s">
        <v>77</v>
      </c>
      <c r="B209" s="6" t="s">
        <v>78</v>
      </c>
      <c r="C209" s="6" t="s">
        <v>22</v>
      </c>
      <c r="D209" s="6" t="s">
        <v>149</v>
      </c>
      <c r="E209" s="6" t="s">
        <v>24</v>
      </c>
      <c r="F209" s="6" t="n">
        <v>28.5</v>
      </c>
      <c r="G209" s="7" t="n">
        <v>21.97</v>
      </c>
      <c r="H209" s="7" t="n">
        <v>626.14</v>
      </c>
      <c r="I209" s="7" t="n">
        <v>81.55</v>
      </c>
      <c r="J209" s="7" t="n">
        <v>544.59</v>
      </c>
    </row>
    <row r="210" customFormat="false" ht="15" hidden="false" customHeight="false" outlineLevel="0" collapsed="false">
      <c r="A210" s="6" t="s">
        <v>79</v>
      </c>
      <c r="B210" s="6" t="s">
        <v>80</v>
      </c>
      <c r="C210" s="6" t="s">
        <v>27</v>
      </c>
      <c r="D210" s="6" t="s">
        <v>149</v>
      </c>
      <c r="E210" s="6" t="s">
        <v>24</v>
      </c>
      <c r="F210" s="6" t="n">
        <v>30.83</v>
      </c>
      <c r="G210" s="7" t="n">
        <v>13.16</v>
      </c>
      <c r="H210" s="7" t="n">
        <v>405.72</v>
      </c>
      <c r="I210" s="7" t="n">
        <v>52.19</v>
      </c>
      <c r="J210" s="7" t="n">
        <v>353.53</v>
      </c>
    </row>
    <row r="211" customFormat="false" ht="15" hidden="false" customHeight="false" outlineLevel="0" collapsed="false">
      <c r="A211" s="6" t="s">
        <v>81</v>
      </c>
      <c r="B211" s="6" t="s">
        <v>82</v>
      </c>
      <c r="C211" s="6" t="s">
        <v>30</v>
      </c>
      <c r="D211" s="6" t="s">
        <v>149</v>
      </c>
      <c r="E211" s="6" t="s">
        <v>24</v>
      </c>
      <c r="F211" s="6" t="n">
        <v>33.53</v>
      </c>
      <c r="G211" s="7" t="n">
        <v>20.81</v>
      </c>
      <c r="H211" s="7" t="n">
        <v>697.76</v>
      </c>
      <c r="I211" s="7" t="n">
        <v>127.77</v>
      </c>
      <c r="J211" s="7" t="n">
        <v>569.99</v>
      </c>
    </row>
    <row r="212" customFormat="false" ht="15" hidden="false" customHeight="false" outlineLevel="0" collapsed="false">
      <c r="A212" s="6" t="s">
        <v>83</v>
      </c>
      <c r="B212" s="6" t="s">
        <v>84</v>
      </c>
      <c r="C212" s="6" t="s">
        <v>33</v>
      </c>
      <c r="D212" s="6" t="s">
        <v>149</v>
      </c>
      <c r="E212" s="6" t="s">
        <v>24</v>
      </c>
      <c r="F212" s="6" t="n">
        <v>27.46</v>
      </c>
      <c r="G212" s="7" t="n">
        <v>19.66</v>
      </c>
      <c r="H212" s="7" t="n">
        <v>539.86</v>
      </c>
      <c r="I212" s="7" t="n">
        <v>76.15</v>
      </c>
      <c r="J212" s="7" t="n">
        <v>463.71</v>
      </c>
    </row>
    <row r="213" customFormat="false" ht="15" hidden="false" customHeight="false" outlineLevel="0" collapsed="false">
      <c r="A213" s="6" t="s">
        <v>85</v>
      </c>
      <c r="B213" s="6" t="s">
        <v>86</v>
      </c>
      <c r="C213" s="6" t="s">
        <v>36</v>
      </c>
      <c r="D213" s="6" t="s">
        <v>149</v>
      </c>
      <c r="E213" s="6" t="s">
        <v>24</v>
      </c>
      <c r="F213" s="6" t="n">
        <v>26.87</v>
      </c>
      <c r="G213" s="7" t="n">
        <v>23.92</v>
      </c>
      <c r="H213" s="7" t="n">
        <v>642.73</v>
      </c>
      <c r="I213" s="7" t="n">
        <v>131.02</v>
      </c>
      <c r="J213" s="7" t="n">
        <v>511.71</v>
      </c>
    </row>
    <row r="214" customFormat="false" ht="15" hidden="false" customHeight="false" outlineLevel="0" collapsed="false">
      <c r="A214" s="6" t="s">
        <v>87</v>
      </c>
      <c r="B214" s="6" t="s">
        <v>88</v>
      </c>
      <c r="C214" s="6" t="s">
        <v>22</v>
      </c>
      <c r="D214" s="6" t="s">
        <v>149</v>
      </c>
      <c r="E214" s="6" t="s">
        <v>24</v>
      </c>
      <c r="F214" s="6" t="n">
        <v>21.49</v>
      </c>
      <c r="G214" s="7" t="n">
        <v>13.92</v>
      </c>
      <c r="H214" s="7" t="n">
        <v>299.14</v>
      </c>
      <c r="I214" s="7" t="n">
        <v>60.1</v>
      </c>
      <c r="J214" s="7" t="n">
        <v>239.04</v>
      </c>
    </row>
    <row r="215" customFormat="false" ht="15" hidden="false" customHeight="false" outlineLevel="0" collapsed="false">
      <c r="A215" s="6" t="s">
        <v>89</v>
      </c>
      <c r="B215" s="6" t="s">
        <v>90</v>
      </c>
      <c r="C215" s="6" t="s">
        <v>27</v>
      </c>
      <c r="D215" s="6" t="s">
        <v>149</v>
      </c>
      <c r="E215" s="6" t="s">
        <v>24</v>
      </c>
      <c r="F215" s="6" t="n">
        <v>32.47</v>
      </c>
      <c r="G215" s="7" t="n">
        <v>24.3</v>
      </c>
      <c r="H215" s="7" t="n">
        <v>789.02</v>
      </c>
      <c r="I215" s="7" t="n">
        <v>111.5</v>
      </c>
      <c r="J215" s="7" t="n">
        <v>677.52</v>
      </c>
    </row>
    <row r="216" customFormat="false" ht="15" hidden="false" customHeight="false" outlineLevel="0" collapsed="false">
      <c r="A216" s="6" t="s">
        <v>91</v>
      </c>
      <c r="B216" s="6" t="s">
        <v>92</v>
      </c>
      <c r="C216" s="6" t="s">
        <v>30</v>
      </c>
      <c r="D216" s="6" t="s">
        <v>149</v>
      </c>
      <c r="E216" s="6" t="s">
        <v>24</v>
      </c>
      <c r="F216" s="6" t="n">
        <v>28.49</v>
      </c>
      <c r="G216" s="7" t="n">
        <v>16.13</v>
      </c>
      <c r="H216" s="7" t="n">
        <v>459.54</v>
      </c>
      <c r="I216" s="7" t="n">
        <v>92.36</v>
      </c>
      <c r="J216" s="7" t="n">
        <v>367.18</v>
      </c>
    </row>
    <row r="217" customFormat="false" ht="15" hidden="false" customHeight="false" outlineLevel="0" collapsed="false">
      <c r="A217" s="6" t="s">
        <v>93</v>
      </c>
      <c r="B217" s="6" t="s">
        <v>94</v>
      </c>
      <c r="C217" s="6" t="s">
        <v>33</v>
      </c>
      <c r="D217" s="6" t="s">
        <v>149</v>
      </c>
      <c r="E217" s="6" t="s">
        <v>24</v>
      </c>
      <c r="F217" s="6" t="n">
        <v>27.38</v>
      </c>
      <c r="G217" s="7" t="n">
        <v>22.46</v>
      </c>
      <c r="H217" s="7" t="n">
        <v>614.95</v>
      </c>
      <c r="I217" s="7" t="n">
        <v>134.62</v>
      </c>
      <c r="J217" s="7" t="n">
        <v>480.33</v>
      </c>
    </row>
    <row r="218" customFormat="false" ht="15" hidden="false" customHeight="false" outlineLevel="0" collapsed="false">
      <c r="A218" s="6" t="s">
        <v>95</v>
      </c>
      <c r="B218" s="6" t="s">
        <v>96</v>
      </c>
      <c r="C218" s="6" t="s">
        <v>36</v>
      </c>
      <c r="D218" s="6" t="s">
        <v>149</v>
      </c>
      <c r="E218" s="6" t="s">
        <v>24</v>
      </c>
      <c r="F218" s="6" t="n">
        <v>26.51</v>
      </c>
      <c r="G218" s="7" t="n">
        <v>20.78</v>
      </c>
      <c r="H218" s="7" t="n">
        <v>550.88</v>
      </c>
      <c r="I218" s="7" t="n">
        <v>107.21</v>
      </c>
      <c r="J218" s="7" t="n">
        <v>443.67</v>
      </c>
    </row>
    <row r="219" customFormat="false" ht="15" hidden="false" customHeight="false" outlineLevel="0" collapsed="false">
      <c r="A219" s="6" t="s">
        <v>97</v>
      </c>
      <c r="B219" s="6" t="s">
        <v>98</v>
      </c>
      <c r="C219" s="6" t="s">
        <v>22</v>
      </c>
      <c r="D219" s="6" t="s">
        <v>149</v>
      </c>
      <c r="E219" s="6" t="s">
        <v>24</v>
      </c>
      <c r="F219" s="6" t="n">
        <v>38.42</v>
      </c>
      <c r="G219" s="7" t="n">
        <v>18.84</v>
      </c>
      <c r="H219" s="7" t="n">
        <v>723.83</v>
      </c>
      <c r="I219" s="7" t="n">
        <v>113.59</v>
      </c>
      <c r="J219" s="7" t="n">
        <v>610.24</v>
      </c>
    </row>
    <row r="220" customFormat="false" ht="15" hidden="false" customHeight="false" outlineLevel="0" collapsed="false">
      <c r="A220" s="6" t="s">
        <v>99</v>
      </c>
      <c r="B220" s="6" t="s">
        <v>100</v>
      </c>
      <c r="C220" s="6" t="s">
        <v>27</v>
      </c>
      <c r="D220" s="6" t="s">
        <v>149</v>
      </c>
      <c r="E220" s="6" t="s">
        <v>24</v>
      </c>
      <c r="F220" s="6" t="n">
        <v>21.94</v>
      </c>
      <c r="G220" s="7" t="n">
        <v>26</v>
      </c>
      <c r="H220" s="7" t="n">
        <v>570.44</v>
      </c>
      <c r="I220" s="7" t="n">
        <v>72.93</v>
      </c>
      <c r="J220" s="7" t="n">
        <v>497.51</v>
      </c>
    </row>
    <row r="221" customFormat="false" ht="15" hidden="false" customHeight="false" outlineLevel="0" collapsed="false">
      <c r="A221" s="6" t="s">
        <v>101</v>
      </c>
      <c r="B221" s="6" t="s">
        <v>102</v>
      </c>
      <c r="C221" s="6" t="s">
        <v>30</v>
      </c>
      <c r="D221" s="6" t="s">
        <v>149</v>
      </c>
      <c r="E221" s="6" t="s">
        <v>24</v>
      </c>
      <c r="F221" s="6" t="n">
        <v>21.66</v>
      </c>
      <c r="G221" s="7" t="n">
        <v>21.03</v>
      </c>
      <c r="H221" s="7" t="n">
        <v>455.51</v>
      </c>
      <c r="I221" s="7" t="n">
        <v>76.75</v>
      </c>
      <c r="J221" s="7" t="n">
        <v>378.76</v>
      </c>
    </row>
    <row r="222" customFormat="false" ht="15" hidden="false" customHeight="false" outlineLevel="0" collapsed="false">
      <c r="A222" s="6" t="s">
        <v>103</v>
      </c>
      <c r="B222" s="6" t="s">
        <v>104</v>
      </c>
      <c r="C222" s="6" t="s">
        <v>33</v>
      </c>
      <c r="D222" s="6" t="s">
        <v>149</v>
      </c>
      <c r="E222" s="6" t="s">
        <v>24</v>
      </c>
      <c r="F222" s="6" t="n">
        <v>33.71</v>
      </c>
      <c r="G222" s="7" t="n">
        <v>16.78</v>
      </c>
      <c r="H222" s="7" t="n">
        <v>565.65</v>
      </c>
      <c r="I222" s="7" t="n">
        <v>111.74</v>
      </c>
      <c r="J222" s="7" t="n">
        <v>453.91</v>
      </c>
    </row>
    <row r="223" customFormat="false" ht="15" hidden="false" customHeight="false" outlineLevel="0" collapsed="false">
      <c r="A223" s="6" t="s">
        <v>105</v>
      </c>
      <c r="B223" s="6" t="s">
        <v>106</v>
      </c>
      <c r="C223" s="6" t="s">
        <v>36</v>
      </c>
      <c r="D223" s="6" t="s">
        <v>149</v>
      </c>
      <c r="E223" s="6" t="s">
        <v>24</v>
      </c>
      <c r="F223" s="6" t="n">
        <v>21.52</v>
      </c>
      <c r="G223" s="7" t="n">
        <v>15.41</v>
      </c>
      <c r="H223" s="7" t="n">
        <v>331.62</v>
      </c>
      <c r="I223" s="7" t="n">
        <v>61.75</v>
      </c>
      <c r="J223" s="7" t="n">
        <v>269.87</v>
      </c>
    </row>
    <row r="224" customFormat="false" ht="15" hidden="false" customHeight="false" outlineLevel="0" collapsed="false">
      <c r="A224" s="6" t="s">
        <v>107</v>
      </c>
      <c r="B224" s="6" t="s">
        <v>108</v>
      </c>
      <c r="C224" s="6" t="s">
        <v>22</v>
      </c>
      <c r="D224" s="6" t="s">
        <v>149</v>
      </c>
      <c r="E224" s="6" t="s">
        <v>24</v>
      </c>
      <c r="F224" s="6" t="n">
        <v>21.63</v>
      </c>
      <c r="G224" s="7" t="n">
        <v>16.86</v>
      </c>
      <c r="H224" s="7" t="n">
        <v>364.68</v>
      </c>
      <c r="I224" s="7" t="n">
        <v>70.2</v>
      </c>
      <c r="J224" s="7" t="n">
        <v>294.48</v>
      </c>
    </row>
    <row r="225" customFormat="false" ht="15" hidden="false" customHeight="false" outlineLevel="0" collapsed="false">
      <c r="A225" s="6" t="s">
        <v>109</v>
      </c>
      <c r="B225" s="6" t="s">
        <v>110</v>
      </c>
      <c r="C225" s="6" t="s">
        <v>27</v>
      </c>
      <c r="D225" s="6" t="s">
        <v>149</v>
      </c>
      <c r="E225" s="6" t="s">
        <v>24</v>
      </c>
      <c r="F225" s="6" t="n">
        <v>33.88</v>
      </c>
      <c r="G225" s="7" t="n">
        <v>16.53</v>
      </c>
      <c r="H225" s="7" t="n">
        <v>560.04</v>
      </c>
      <c r="I225" s="7" t="n">
        <v>75.21</v>
      </c>
      <c r="J225" s="7" t="n">
        <v>484.83</v>
      </c>
    </row>
    <row r="226" customFormat="false" ht="15" hidden="false" customHeight="false" outlineLevel="0" collapsed="false">
      <c r="A226" s="6" t="s">
        <v>111</v>
      </c>
      <c r="B226" s="6" t="s">
        <v>112</v>
      </c>
      <c r="C226" s="6" t="s">
        <v>30</v>
      </c>
      <c r="D226" s="6" t="s">
        <v>149</v>
      </c>
      <c r="E226" s="6" t="s">
        <v>24</v>
      </c>
      <c r="F226" s="6" t="n">
        <v>27.16</v>
      </c>
      <c r="G226" s="7" t="n">
        <v>23.62</v>
      </c>
      <c r="H226" s="7" t="n">
        <v>641.52</v>
      </c>
      <c r="I226" s="7" t="n">
        <v>100.49</v>
      </c>
      <c r="J226" s="7" t="n">
        <v>541.03</v>
      </c>
    </row>
    <row r="227" customFormat="false" ht="15" hidden="false" customHeight="false" outlineLevel="0" collapsed="false">
      <c r="A227" s="6" t="s">
        <v>113</v>
      </c>
      <c r="B227" s="6" t="s">
        <v>114</v>
      </c>
      <c r="C227" s="6" t="s">
        <v>33</v>
      </c>
      <c r="D227" s="6" t="s">
        <v>149</v>
      </c>
      <c r="E227" s="6" t="s">
        <v>24</v>
      </c>
      <c r="F227" s="6" t="n">
        <v>22.35</v>
      </c>
      <c r="G227" s="7" t="n">
        <v>23.35</v>
      </c>
      <c r="H227" s="7" t="n">
        <v>521.87</v>
      </c>
      <c r="I227" s="7" t="n">
        <v>92.33</v>
      </c>
      <c r="J227" s="7" t="n">
        <v>429.54</v>
      </c>
    </row>
    <row r="228" customFormat="false" ht="15" hidden="false" customHeight="false" outlineLevel="0" collapsed="false">
      <c r="A228" s="6" t="s">
        <v>115</v>
      </c>
      <c r="B228" s="6" t="s">
        <v>116</v>
      </c>
      <c r="C228" s="6" t="s">
        <v>36</v>
      </c>
      <c r="D228" s="6" t="s">
        <v>149</v>
      </c>
      <c r="E228" s="6" t="s">
        <v>24</v>
      </c>
      <c r="F228" s="6" t="n">
        <v>38.37</v>
      </c>
      <c r="G228" s="7" t="n">
        <v>27.04</v>
      </c>
      <c r="H228" s="7" t="n">
        <v>1037.52</v>
      </c>
      <c r="I228" s="7" t="n">
        <v>219.27</v>
      </c>
      <c r="J228" s="7" t="n">
        <v>818.25</v>
      </c>
    </row>
    <row r="229" customFormat="false" ht="15" hidden="false" customHeight="false" outlineLevel="0" collapsed="false">
      <c r="A229" s="6" t="s">
        <v>117</v>
      </c>
      <c r="B229" s="6" t="s">
        <v>118</v>
      </c>
      <c r="C229" s="6" t="s">
        <v>22</v>
      </c>
      <c r="D229" s="6" t="s">
        <v>149</v>
      </c>
      <c r="E229" s="6" t="s">
        <v>24</v>
      </c>
      <c r="F229" s="6" t="n">
        <v>28.76</v>
      </c>
      <c r="G229" s="7" t="n">
        <v>24.85</v>
      </c>
      <c r="H229" s="7" t="n">
        <v>714.69</v>
      </c>
      <c r="I229" s="7" t="n">
        <v>107.54</v>
      </c>
      <c r="J229" s="7" t="n">
        <v>607.15</v>
      </c>
    </row>
    <row r="230" customFormat="false" ht="15" hidden="false" customHeight="false" outlineLevel="0" collapsed="false">
      <c r="A230" s="6" t="s">
        <v>119</v>
      </c>
      <c r="B230" s="6" t="s">
        <v>120</v>
      </c>
      <c r="C230" s="6" t="s">
        <v>27</v>
      </c>
      <c r="D230" s="6" t="s">
        <v>149</v>
      </c>
      <c r="E230" s="6" t="s">
        <v>24</v>
      </c>
      <c r="F230" s="6" t="n">
        <v>26.35</v>
      </c>
      <c r="G230" s="7" t="n">
        <v>18.39</v>
      </c>
      <c r="H230" s="7" t="n">
        <v>484.58</v>
      </c>
      <c r="I230" s="7" t="n">
        <v>103.44</v>
      </c>
      <c r="J230" s="7" t="n">
        <v>381.14</v>
      </c>
    </row>
    <row r="231" customFormat="false" ht="15" hidden="false" customHeight="false" outlineLevel="0" collapsed="false">
      <c r="A231" s="6" t="s">
        <v>121</v>
      </c>
      <c r="B231" s="6" t="s">
        <v>122</v>
      </c>
      <c r="C231" s="6" t="s">
        <v>30</v>
      </c>
      <c r="D231" s="6" t="s">
        <v>149</v>
      </c>
      <c r="E231" s="6" t="s">
        <v>24</v>
      </c>
      <c r="F231" s="6" t="n">
        <v>37.89</v>
      </c>
      <c r="G231" s="7" t="n">
        <v>15.97</v>
      </c>
      <c r="H231" s="7" t="n">
        <v>605.1</v>
      </c>
      <c r="I231" s="7" t="n">
        <v>94.5</v>
      </c>
      <c r="J231" s="7" t="n">
        <v>510.6</v>
      </c>
    </row>
    <row r="232" customFormat="false" ht="15" hidden="false" customHeight="false" outlineLevel="0" collapsed="false">
      <c r="A232" s="6" t="s">
        <v>123</v>
      </c>
      <c r="B232" s="6" t="s">
        <v>124</v>
      </c>
      <c r="C232" s="6" t="s">
        <v>33</v>
      </c>
      <c r="D232" s="6" t="s">
        <v>149</v>
      </c>
      <c r="E232" s="6" t="s">
        <v>24</v>
      </c>
      <c r="F232" s="6" t="n">
        <v>27.31</v>
      </c>
      <c r="G232" s="7" t="n">
        <v>17.81</v>
      </c>
      <c r="H232" s="7" t="n">
        <v>486.39</v>
      </c>
      <c r="I232" s="7" t="n">
        <v>77.61</v>
      </c>
      <c r="J232" s="7" t="n">
        <v>408.78</v>
      </c>
    </row>
    <row r="233" customFormat="false" ht="15" hidden="false" customHeight="false" outlineLevel="0" collapsed="false">
      <c r="A233" s="6" t="s">
        <v>125</v>
      </c>
      <c r="B233" s="6" t="s">
        <v>126</v>
      </c>
      <c r="C233" s="6" t="s">
        <v>36</v>
      </c>
      <c r="D233" s="6" t="s">
        <v>149</v>
      </c>
      <c r="E233" s="6" t="s">
        <v>24</v>
      </c>
      <c r="F233" s="6" t="n">
        <v>27.75</v>
      </c>
      <c r="G233" s="7" t="n">
        <v>15.12</v>
      </c>
      <c r="H233" s="7" t="n">
        <v>419.58</v>
      </c>
      <c r="I233" s="7" t="n">
        <v>74.01</v>
      </c>
      <c r="J233" s="7" t="n">
        <v>345.57</v>
      </c>
    </row>
    <row r="234" customFormat="false" ht="15" hidden="false" customHeight="false" outlineLevel="0" collapsed="false">
      <c r="A234" s="6" t="s">
        <v>127</v>
      </c>
      <c r="B234" s="6" t="s">
        <v>128</v>
      </c>
      <c r="C234" s="6" t="s">
        <v>22</v>
      </c>
      <c r="D234" s="6" t="s">
        <v>149</v>
      </c>
      <c r="E234" s="6" t="s">
        <v>24</v>
      </c>
      <c r="F234" s="6" t="n">
        <v>35.94</v>
      </c>
      <c r="G234" s="7" t="n">
        <v>20.65</v>
      </c>
      <c r="H234" s="7" t="n">
        <v>742.16</v>
      </c>
      <c r="I234" s="7" t="n">
        <v>151.13</v>
      </c>
      <c r="J234" s="7" t="n">
        <v>591.03</v>
      </c>
    </row>
    <row r="235" customFormat="false" ht="15" hidden="false" customHeight="false" outlineLevel="0" collapsed="false">
      <c r="A235" s="6" t="s">
        <v>129</v>
      </c>
      <c r="B235" s="6" t="s">
        <v>130</v>
      </c>
      <c r="C235" s="6" t="s">
        <v>27</v>
      </c>
      <c r="D235" s="6" t="s">
        <v>149</v>
      </c>
      <c r="E235" s="6" t="s">
        <v>24</v>
      </c>
      <c r="F235" s="6" t="n">
        <v>31.26</v>
      </c>
      <c r="G235" s="7" t="n">
        <v>14.83</v>
      </c>
      <c r="H235" s="7" t="n">
        <v>463.59</v>
      </c>
      <c r="I235" s="7" t="n">
        <v>90.81</v>
      </c>
      <c r="J235" s="7" t="n">
        <v>372.78</v>
      </c>
    </row>
    <row r="236" customFormat="false" ht="15" hidden="false" customHeight="false" outlineLevel="0" collapsed="false">
      <c r="A236" s="6" t="s">
        <v>131</v>
      </c>
      <c r="B236" s="6" t="s">
        <v>132</v>
      </c>
      <c r="C236" s="6" t="s">
        <v>30</v>
      </c>
      <c r="D236" s="6" t="s">
        <v>149</v>
      </c>
      <c r="E236" s="6" t="s">
        <v>24</v>
      </c>
      <c r="F236" s="6" t="n">
        <v>37.62</v>
      </c>
      <c r="G236" s="7" t="n">
        <v>16.5</v>
      </c>
      <c r="H236" s="7" t="n">
        <v>620.73</v>
      </c>
      <c r="I236" s="7" t="n">
        <v>75.87</v>
      </c>
      <c r="J236" s="7" t="n">
        <v>544.86</v>
      </c>
    </row>
    <row r="237" customFormat="false" ht="15" hidden="false" customHeight="false" outlineLevel="0" collapsed="false">
      <c r="A237" s="6" t="s">
        <v>133</v>
      </c>
      <c r="B237" s="6" t="s">
        <v>134</v>
      </c>
      <c r="C237" s="6" t="s">
        <v>33</v>
      </c>
      <c r="D237" s="6" t="s">
        <v>149</v>
      </c>
      <c r="E237" s="6" t="s">
        <v>24</v>
      </c>
      <c r="F237" s="6" t="n">
        <v>30.31</v>
      </c>
      <c r="G237" s="7" t="n">
        <v>20.71</v>
      </c>
      <c r="H237" s="7" t="n">
        <v>627.72</v>
      </c>
      <c r="I237" s="7" t="n">
        <v>110.95</v>
      </c>
      <c r="J237" s="7" t="n">
        <v>516.77</v>
      </c>
    </row>
    <row r="238" customFormat="false" ht="15" hidden="false" customHeight="false" outlineLevel="0" collapsed="false">
      <c r="A238" s="6" t="s">
        <v>135</v>
      </c>
      <c r="B238" s="6" t="s">
        <v>136</v>
      </c>
      <c r="C238" s="6" t="s">
        <v>36</v>
      </c>
      <c r="D238" s="6" t="s">
        <v>149</v>
      </c>
      <c r="E238" s="6" t="s">
        <v>24</v>
      </c>
      <c r="F238" s="6" t="n">
        <v>39.33</v>
      </c>
      <c r="G238" s="7" t="n">
        <v>22.42</v>
      </c>
      <c r="H238" s="7" t="n">
        <v>881.78</v>
      </c>
      <c r="I238" s="7" t="n">
        <v>176.74</v>
      </c>
      <c r="J238" s="7" t="n">
        <v>705.04</v>
      </c>
    </row>
    <row r="239" customFormat="false" ht="15" hidden="false" customHeight="false" outlineLevel="0" collapsed="false">
      <c r="A239" s="6" t="s">
        <v>137</v>
      </c>
      <c r="B239" s="6" t="s">
        <v>138</v>
      </c>
      <c r="C239" s="6" t="s">
        <v>22</v>
      </c>
      <c r="D239" s="6" t="s">
        <v>149</v>
      </c>
      <c r="E239" s="6" t="s">
        <v>24</v>
      </c>
      <c r="F239" s="6" t="n">
        <v>21.28</v>
      </c>
      <c r="G239" s="7" t="n">
        <v>20.75</v>
      </c>
      <c r="H239" s="7" t="n">
        <v>441.56</v>
      </c>
      <c r="I239" s="7" t="n">
        <v>87.78</v>
      </c>
      <c r="J239" s="7" t="n">
        <v>353.78</v>
      </c>
    </row>
    <row r="240" customFormat="false" ht="15" hidden="false" customHeight="false" outlineLevel="0" collapsed="false">
      <c r="A240" s="6" t="s">
        <v>139</v>
      </c>
      <c r="B240" s="6" t="s">
        <v>140</v>
      </c>
      <c r="C240" s="6" t="s">
        <v>27</v>
      </c>
      <c r="D240" s="6" t="s">
        <v>149</v>
      </c>
      <c r="E240" s="6" t="s">
        <v>24</v>
      </c>
      <c r="F240" s="6" t="n">
        <v>21.68</v>
      </c>
      <c r="G240" s="7" t="n">
        <v>13.31</v>
      </c>
      <c r="H240" s="7" t="n">
        <v>288.56</v>
      </c>
      <c r="I240" s="7" t="n">
        <v>55.9</v>
      </c>
      <c r="J240" s="7" t="n">
        <v>232.66</v>
      </c>
    </row>
    <row r="241" customFormat="false" ht="15" hidden="false" customHeight="false" outlineLevel="0" collapsed="false">
      <c r="A241" s="6" t="s">
        <v>141</v>
      </c>
      <c r="B241" s="6" t="s">
        <v>142</v>
      </c>
      <c r="C241" s="6" t="s">
        <v>30</v>
      </c>
      <c r="D241" s="6" t="s">
        <v>149</v>
      </c>
      <c r="E241" s="6" t="s">
        <v>24</v>
      </c>
      <c r="F241" s="6" t="n">
        <v>37.98</v>
      </c>
      <c r="G241" s="7" t="n">
        <v>13.36</v>
      </c>
      <c r="H241" s="7" t="n">
        <v>507.41</v>
      </c>
      <c r="I241" s="7" t="n">
        <v>93.07</v>
      </c>
      <c r="J241" s="7" t="n">
        <v>414.34</v>
      </c>
    </row>
    <row r="242" customFormat="false" ht="15" hidden="false" customHeight="false" outlineLevel="0" collapsed="false">
      <c r="A242" s="6" t="s">
        <v>143</v>
      </c>
      <c r="B242" s="6" t="s">
        <v>144</v>
      </c>
      <c r="C242" s="6" t="s">
        <v>33</v>
      </c>
      <c r="D242" s="6" t="s">
        <v>149</v>
      </c>
      <c r="E242" s="6" t="s">
        <v>24</v>
      </c>
      <c r="F242" s="6" t="n">
        <v>22.88</v>
      </c>
      <c r="G242" s="7" t="n">
        <v>23.93</v>
      </c>
      <c r="H242" s="7" t="n">
        <v>547.52</v>
      </c>
      <c r="I242" s="7" t="n">
        <v>101.24</v>
      </c>
      <c r="J242" s="7" t="n">
        <v>446.28</v>
      </c>
    </row>
    <row r="243" customFormat="false" ht="15" hidden="false" customHeight="false" outlineLevel="0" collapsed="false">
      <c r="A243" s="6" t="s">
        <v>145</v>
      </c>
      <c r="B243" s="6" t="s">
        <v>146</v>
      </c>
      <c r="C243" s="6" t="s">
        <v>36</v>
      </c>
      <c r="D243" s="6" t="s">
        <v>149</v>
      </c>
      <c r="E243" s="6" t="s">
        <v>24</v>
      </c>
      <c r="F243" s="6" t="n">
        <v>24.91</v>
      </c>
      <c r="G243" s="7" t="n">
        <v>15.53</v>
      </c>
      <c r="H243" s="7" t="n">
        <v>386.85</v>
      </c>
      <c r="I243" s="7" t="n">
        <v>76.03</v>
      </c>
      <c r="J243" s="7" t="n">
        <v>310.82</v>
      </c>
    </row>
    <row r="244" customFormat="false" ht="15" hidden="false" customHeight="false" outlineLevel="0" collapsed="false">
      <c r="A244" s="6" t="s">
        <v>37</v>
      </c>
      <c r="B244" s="6" t="s">
        <v>35</v>
      </c>
      <c r="C244" s="6" t="s">
        <v>22</v>
      </c>
      <c r="D244" s="6" t="s">
        <v>147</v>
      </c>
      <c r="E244" s="6" t="s">
        <v>150</v>
      </c>
      <c r="F244" s="6" t="n">
        <v>0</v>
      </c>
      <c r="G244" s="7" t="n">
        <v>0</v>
      </c>
      <c r="H244" s="7" t="n">
        <v>-215</v>
      </c>
      <c r="I244" s="7" t="n">
        <v>0</v>
      </c>
      <c r="J244" s="7" t="n">
        <v>-215</v>
      </c>
    </row>
    <row r="245" customFormat="false" ht="15" hidden="false" customHeight="false" outlineLevel="0" collapsed="false">
      <c r="A245" s="6" t="s">
        <v>63</v>
      </c>
      <c r="B245" s="6" t="s">
        <v>62</v>
      </c>
      <c r="C245" s="6" t="s">
        <v>27</v>
      </c>
      <c r="D245" s="6" t="s">
        <v>148</v>
      </c>
      <c r="E245" s="6" t="s">
        <v>151</v>
      </c>
      <c r="F245" s="6" t="n">
        <v>0</v>
      </c>
      <c r="G245" s="7" t="n">
        <v>0</v>
      </c>
      <c r="H245" s="7" t="n">
        <v>-180</v>
      </c>
      <c r="I245" s="7" t="n">
        <v>0</v>
      </c>
      <c r="J245" s="7" t="n">
        <v>-180</v>
      </c>
    </row>
    <row r="246" customFormat="false" ht="15" hidden="false" customHeight="false" outlineLevel="0" collapsed="false">
      <c r="A246" s="6" t="s">
        <v>81</v>
      </c>
      <c r="B246" s="6" t="s">
        <v>80</v>
      </c>
      <c r="C246" s="6" t="s">
        <v>36</v>
      </c>
      <c r="D246" s="6" t="s">
        <v>23</v>
      </c>
      <c r="E246" s="6" t="s">
        <v>152</v>
      </c>
      <c r="F246" s="6" t="n">
        <v>0</v>
      </c>
      <c r="G246" s="7" t="n">
        <v>0</v>
      </c>
      <c r="H246" s="7" t="n">
        <v>0</v>
      </c>
      <c r="I246" s="7" t="n">
        <v>0</v>
      </c>
      <c r="J246" s="7" t="n">
        <v>0</v>
      </c>
    </row>
    <row r="247" customFormat="false" ht="15" hidden="false" customHeight="false" outlineLevel="0" collapsed="false">
      <c r="A247" s="6" t="s">
        <v>111</v>
      </c>
      <c r="B247" s="6" t="s">
        <v>110</v>
      </c>
      <c r="C247" s="6" t="s">
        <v>33</v>
      </c>
      <c r="D247" s="6" t="s">
        <v>149</v>
      </c>
      <c r="E247" s="6" t="s">
        <v>151</v>
      </c>
      <c r="F247" s="6" t="n">
        <v>0</v>
      </c>
      <c r="G247" s="7" t="n">
        <v>0</v>
      </c>
      <c r="H247" s="7" t="n">
        <v>-310</v>
      </c>
      <c r="I247" s="7" t="n">
        <v>0</v>
      </c>
      <c r="J247" s="7" t="n">
        <v>-310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9" min="8" style="0" width="20"/>
  </cols>
  <sheetData>
    <row r="1" customFormat="false" ht="23.85" hidden="false" customHeight="false" outlineLevel="0" collapsed="false">
      <c r="A1" s="5" t="s">
        <v>10</v>
      </c>
      <c r="B1" s="5" t="s">
        <v>11</v>
      </c>
      <c r="C1" s="5" t="s">
        <v>13</v>
      </c>
      <c r="D1" s="5" t="s">
        <v>14</v>
      </c>
      <c r="E1" s="5" t="s">
        <v>153</v>
      </c>
      <c r="F1" s="5" t="s">
        <v>17</v>
      </c>
      <c r="G1" s="5" t="s">
        <v>154</v>
      </c>
      <c r="H1" s="5" t="s">
        <v>155</v>
      </c>
      <c r="I1" s="5" t="s">
        <v>156</v>
      </c>
    </row>
    <row r="2" customFormat="false" ht="15" hidden="false" customHeight="false" outlineLevel="0" collapsed="false">
      <c r="A2" s="6" t="str">
        <f aca="false">'Payroll Register'!A2</f>
        <v>E1000</v>
      </c>
      <c r="B2" s="6" t="str">
        <f aca="false">'Payroll Register'!B2</f>
        <v>Employee 001</v>
      </c>
      <c r="C2" s="6" t="str">
        <f aca="false">'Payroll Register'!D2</f>
        <v>2026-06-01 to 2026-06-07</v>
      </c>
      <c r="D2" s="6" t="str">
        <f aca="false">'Payroll Register'!E2</f>
        <v>Regular</v>
      </c>
      <c r="E2" s="7" t="n">
        <f aca="false">ROUND('Payroll Register'!F2*'Payroll Register'!G2,2)</f>
        <v>608.89</v>
      </c>
      <c r="F2" s="7" t="n">
        <f aca="false">'Payroll Register'!H2</f>
        <v>608.89</v>
      </c>
      <c r="G2" s="7" t="n">
        <f aca="false">ROUND(F2-E2,2)</f>
        <v>0</v>
      </c>
      <c r="H2" s="6" t="str">
        <f aca="false">IF(COUNTIFS(A$2:A$247,A2,C$2:C$247,C2)&gt;1,"DUPLICATE - REVIEW","OK")</f>
        <v>OK</v>
      </c>
      <c r="I2" s="6" t="str">
        <f aca="false">IF(D2&lt;&gt;"Regular","Off-Cycle - See Register",IF(H2="DUPLICATE - REVIEW","Duplicate Payment",IF(ABS(G2)&gt;0.01,"Gross Pay Discrepancy","Clear")))</f>
        <v>Clear</v>
      </c>
    </row>
    <row r="3" customFormat="false" ht="15" hidden="false" customHeight="false" outlineLevel="0" collapsed="false">
      <c r="A3" s="6" t="str">
        <f aca="false">'Payroll Register'!A3</f>
        <v>E1001</v>
      </c>
      <c r="B3" s="6" t="str">
        <f aca="false">'Payroll Register'!B3</f>
        <v>Employee 002</v>
      </c>
      <c r="C3" s="6" t="str">
        <f aca="false">'Payroll Register'!D3</f>
        <v>2026-06-01 to 2026-06-07</v>
      </c>
      <c r="D3" s="6" t="str">
        <f aca="false">'Payroll Register'!E3</f>
        <v>Regular</v>
      </c>
      <c r="E3" s="7" t="n">
        <f aca="false">ROUND('Payroll Register'!F3*'Payroll Register'!G3,2)</f>
        <v>590.01</v>
      </c>
      <c r="F3" s="7" t="n">
        <f aca="false">'Payroll Register'!H3</f>
        <v>590.01</v>
      </c>
      <c r="G3" s="7" t="n">
        <f aca="false">ROUND(F3-E3,2)</f>
        <v>0</v>
      </c>
      <c r="H3" s="6" t="str">
        <f aca="false">IF(COUNTIFS(A$2:A$247,A3,C$2:C$247,C3)&gt;1,"DUPLICATE - REVIEW","OK")</f>
        <v>OK</v>
      </c>
      <c r="I3" s="6" t="str">
        <f aca="false">IF(D3&lt;&gt;"Regular","Off-Cycle - See Register",IF(H3="DUPLICATE - REVIEW","Duplicate Payment",IF(ABS(G3)&gt;0.01,"Gross Pay Discrepancy","Clear")))</f>
        <v>Clear</v>
      </c>
    </row>
    <row r="4" customFormat="false" ht="15" hidden="false" customHeight="false" outlineLevel="0" collapsed="false">
      <c r="A4" s="6" t="str">
        <f aca="false">'Payroll Register'!A4</f>
        <v>E1002</v>
      </c>
      <c r="B4" s="6" t="str">
        <f aca="false">'Payroll Register'!B4</f>
        <v>Employee 003</v>
      </c>
      <c r="C4" s="6" t="str">
        <f aca="false">'Payroll Register'!D4</f>
        <v>2026-06-01 to 2026-06-07</v>
      </c>
      <c r="D4" s="6" t="str">
        <f aca="false">'Payroll Register'!E4</f>
        <v>Regular</v>
      </c>
      <c r="E4" s="7" t="n">
        <f aca="false">ROUND('Payroll Register'!F4*'Payroll Register'!G4,2)</f>
        <v>478.3</v>
      </c>
      <c r="F4" s="7" t="n">
        <f aca="false">'Payroll Register'!H4</f>
        <v>478.3</v>
      </c>
      <c r="G4" s="7" t="n">
        <f aca="false">ROUND(F4-E4,2)</f>
        <v>0</v>
      </c>
      <c r="H4" s="6" t="str">
        <f aca="false">IF(COUNTIFS(A$2:A$247,A4,C$2:C$247,C4)&gt;1,"DUPLICATE - REVIEW","OK")</f>
        <v>OK</v>
      </c>
      <c r="I4" s="6" t="str">
        <f aca="false">IF(D4&lt;&gt;"Regular","Off-Cycle - See Register",IF(H4="DUPLICATE - REVIEW","Duplicate Payment",IF(ABS(G4)&gt;0.01,"Gross Pay Discrepancy","Clear")))</f>
        <v>Clear</v>
      </c>
    </row>
    <row r="5" customFormat="false" ht="15" hidden="false" customHeight="false" outlineLevel="0" collapsed="false">
      <c r="A5" s="6" t="str">
        <f aca="false">'Payroll Register'!A5</f>
        <v>E1003</v>
      </c>
      <c r="B5" s="6" t="str">
        <f aca="false">'Payroll Register'!B5</f>
        <v>Employee 004</v>
      </c>
      <c r="C5" s="6" t="str">
        <f aca="false">'Payroll Register'!D5</f>
        <v>2026-06-01 to 2026-06-07</v>
      </c>
      <c r="D5" s="6" t="str">
        <f aca="false">'Payroll Register'!E5</f>
        <v>Regular</v>
      </c>
      <c r="E5" s="7" t="n">
        <f aca="false">ROUND('Payroll Register'!F5*'Payroll Register'!G5,2)</f>
        <v>484.47</v>
      </c>
      <c r="F5" s="7" t="n">
        <f aca="false">'Payroll Register'!H5</f>
        <v>484.47</v>
      </c>
      <c r="G5" s="7" t="n">
        <f aca="false">ROUND(F5-E5,2)</f>
        <v>0</v>
      </c>
      <c r="H5" s="6" t="str">
        <f aca="false">IF(COUNTIFS(A$2:A$247,A5,C$2:C$247,C5)&gt;1,"DUPLICATE - REVIEW","OK")</f>
        <v>OK</v>
      </c>
      <c r="I5" s="6" t="str">
        <f aca="false">IF(D5&lt;&gt;"Regular","Off-Cycle - See Register",IF(H5="DUPLICATE - REVIEW","Duplicate Payment",IF(ABS(G5)&gt;0.01,"Gross Pay Discrepancy","Clear")))</f>
        <v>Clear</v>
      </c>
    </row>
    <row r="6" customFormat="false" ht="15" hidden="false" customHeight="false" outlineLevel="0" collapsed="false">
      <c r="A6" s="6" t="str">
        <f aca="false">'Payroll Register'!A6</f>
        <v>E1004</v>
      </c>
      <c r="B6" s="6" t="str">
        <f aca="false">'Payroll Register'!B6</f>
        <v>Employee 005</v>
      </c>
      <c r="C6" s="6" t="str">
        <f aca="false">'Payroll Register'!D6</f>
        <v>2026-06-01 to 2026-06-07</v>
      </c>
      <c r="D6" s="6" t="str">
        <f aca="false">'Payroll Register'!E6</f>
        <v>Regular</v>
      </c>
      <c r="E6" s="7" t="n">
        <f aca="false">ROUND('Payroll Register'!F6*'Payroll Register'!G6,2)</f>
        <v>544.16</v>
      </c>
      <c r="F6" s="7" t="n">
        <f aca="false">'Payroll Register'!H6</f>
        <v>544.16</v>
      </c>
      <c r="G6" s="7" t="n">
        <f aca="false">ROUND(F6-E6,2)</f>
        <v>0</v>
      </c>
      <c r="H6" s="6" t="str">
        <f aca="false">IF(COUNTIFS(A$2:A$247,A6,C$2:C$247,C6)&gt;1,"DUPLICATE - REVIEW","OK")</f>
        <v>OK</v>
      </c>
      <c r="I6" s="6" t="str">
        <f aca="false">IF(D6&lt;&gt;"Regular","Off-Cycle - See Register",IF(H6="DUPLICATE - REVIEW","Duplicate Payment",IF(ABS(G6)&gt;0.01,"Gross Pay Discrepancy","Clear")))</f>
        <v>Clear</v>
      </c>
    </row>
    <row r="7" customFormat="false" ht="15" hidden="false" customHeight="false" outlineLevel="0" collapsed="false">
      <c r="A7" s="6" t="str">
        <f aca="false">'Payroll Register'!A7</f>
        <v>E1005</v>
      </c>
      <c r="B7" s="6" t="str">
        <f aca="false">'Payroll Register'!B7</f>
        <v>Employee 006</v>
      </c>
      <c r="C7" s="6" t="str">
        <f aca="false">'Payroll Register'!D7</f>
        <v>2026-06-01 to 2026-06-07</v>
      </c>
      <c r="D7" s="6" t="str">
        <f aca="false">'Payroll Register'!E7</f>
        <v>Regular</v>
      </c>
      <c r="E7" s="7" t="n">
        <f aca="false">ROUND('Payroll Register'!F7*'Payroll Register'!G7,2)</f>
        <v>577.68</v>
      </c>
      <c r="F7" s="7" t="n">
        <f aca="false">'Payroll Register'!H7</f>
        <v>577.68</v>
      </c>
      <c r="G7" s="7" t="n">
        <f aca="false">ROUND(F7-E7,2)</f>
        <v>0</v>
      </c>
      <c r="H7" s="6" t="str">
        <f aca="false">IF(COUNTIFS(A$2:A$247,A7,C$2:C$247,C7)&gt;1,"DUPLICATE - REVIEW","OK")</f>
        <v>DUPLICATE - REVIEW</v>
      </c>
      <c r="I7" s="6" t="str">
        <f aca="false">IF(D7&lt;&gt;"Regular","Off-Cycle - See Register",IF(H7="DUPLICATE - REVIEW","Duplicate Payment",IF(ABS(G7)&gt;0.01,"Gross Pay Discrepancy","Clear")))</f>
        <v>Duplicate Payment</v>
      </c>
    </row>
    <row r="8" customFormat="false" ht="15" hidden="false" customHeight="false" outlineLevel="0" collapsed="false">
      <c r="A8" s="6" t="str">
        <f aca="false">'Payroll Register'!A8</f>
        <v>E1006</v>
      </c>
      <c r="B8" s="6" t="str">
        <f aca="false">'Payroll Register'!B8</f>
        <v>Employee 007</v>
      </c>
      <c r="C8" s="6" t="str">
        <f aca="false">'Payroll Register'!D8</f>
        <v>2026-06-01 to 2026-06-07</v>
      </c>
      <c r="D8" s="6" t="str">
        <f aca="false">'Payroll Register'!E8</f>
        <v>Regular</v>
      </c>
      <c r="E8" s="7" t="n">
        <f aca="false">ROUND('Payroll Register'!F8*'Payroll Register'!G8,2)</f>
        <v>722.8</v>
      </c>
      <c r="F8" s="7" t="n">
        <f aca="false">'Payroll Register'!H8</f>
        <v>722.8</v>
      </c>
      <c r="G8" s="7" t="n">
        <f aca="false">ROUND(F8-E8,2)</f>
        <v>0</v>
      </c>
      <c r="H8" s="6" t="str">
        <f aca="false">IF(COUNTIFS(A$2:A$247,A8,C$2:C$247,C8)&gt;1,"DUPLICATE - REVIEW","OK")</f>
        <v>OK</v>
      </c>
      <c r="I8" s="6" t="str">
        <f aca="false">IF(D8&lt;&gt;"Regular","Off-Cycle - See Register",IF(H8="DUPLICATE - REVIEW","Duplicate Payment",IF(ABS(G8)&gt;0.01,"Gross Pay Discrepancy","Clear")))</f>
        <v>Clear</v>
      </c>
    </row>
    <row r="9" customFormat="false" ht="15" hidden="false" customHeight="false" outlineLevel="0" collapsed="false">
      <c r="A9" s="6" t="str">
        <f aca="false">'Payroll Register'!A9</f>
        <v>E1005</v>
      </c>
      <c r="B9" s="6" t="str">
        <f aca="false">'Payroll Register'!B9</f>
        <v>Employee 006</v>
      </c>
      <c r="C9" s="6" t="str">
        <f aca="false">'Payroll Register'!D9</f>
        <v>2026-06-01 to 2026-06-07</v>
      </c>
      <c r="D9" s="6" t="str">
        <f aca="false">'Payroll Register'!E9</f>
        <v>Regular</v>
      </c>
      <c r="E9" s="7" t="n">
        <f aca="false">ROUND('Payroll Register'!F9*'Payroll Register'!G9,2)</f>
        <v>577.68</v>
      </c>
      <c r="F9" s="7" t="n">
        <f aca="false">'Payroll Register'!H9</f>
        <v>577.68</v>
      </c>
      <c r="G9" s="7" t="n">
        <f aca="false">ROUND(F9-E9,2)</f>
        <v>0</v>
      </c>
      <c r="H9" s="6" t="str">
        <f aca="false">IF(COUNTIFS(A$2:A$247,A9,C$2:C$247,C9)&gt;1,"DUPLICATE - REVIEW","OK")</f>
        <v>DUPLICATE - REVIEW</v>
      </c>
      <c r="I9" s="6" t="str">
        <f aca="false">IF(D9&lt;&gt;"Regular","Off-Cycle - See Register",IF(H9="DUPLICATE - REVIEW","Duplicate Payment",IF(ABS(G9)&gt;0.01,"Gross Pay Discrepancy","Clear")))</f>
        <v>Duplicate Payment</v>
      </c>
    </row>
    <row r="10" customFormat="false" ht="15" hidden="false" customHeight="false" outlineLevel="0" collapsed="false">
      <c r="A10" s="6" t="str">
        <f aca="false">'Payroll Register'!A10</f>
        <v>E1007</v>
      </c>
      <c r="B10" s="6" t="str">
        <f aca="false">'Payroll Register'!B10</f>
        <v>Employee 008</v>
      </c>
      <c r="C10" s="6" t="str">
        <f aca="false">'Payroll Register'!D10</f>
        <v>2026-06-01 to 2026-06-07</v>
      </c>
      <c r="D10" s="6" t="str">
        <f aca="false">'Payroll Register'!E10</f>
        <v>Regular</v>
      </c>
      <c r="E10" s="7" t="n">
        <f aca="false">ROUND('Payroll Register'!F10*'Payroll Register'!G10,2)</f>
        <v>415.14</v>
      </c>
      <c r="F10" s="7" t="n">
        <f aca="false">'Payroll Register'!H10</f>
        <v>415.13</v>
      </c>
      <c r="G10" s="7" t="n">
        <f aca="false">ROUND(F10-E10,2)</f>
        <v>-0.01</v>
      </c>
      <c r="H10" s="6" t="str">
        <f aca="false">IF(COUNTIFS(A$2:A$247,A10,C$2:C$247,C10)&gt;1,"DUPLICATE - REVIEW","OK")</f>
        <v>OK</v>
      </c>
      <c r="I10" s="6" t="str">
        <f aca="false">IF(D10&lt;&gt;"Regular","Off-Cycle - See Register",IF(H10="DUPLICATE - REVIEW","Duplicate Payment",IF(ABS(G10)&gt;0.01,"Gross Pay Discrepancy","Clear")))</f>
        <v>Clear</v>
      </c>
    </row>
    <row r="11" customFormat="false" ht="15" hidden="false" customHeight="false" outlineLevel="0" collapsed="false">
      <c r="A11" s="6" t="str">
        <f aca="false">'Payroll Register'!A11</f>
        <v>E1008</v>
      </c>
      <c r="B11" s="6" t="str">
        <f aca="false">'Payroll Register'!B11</f>
        <v>Employee 009</v>
      </c>
      <c r="C11" s="6" t="str">
        <f aca="false">'Payroll Register'!D11</f>
        <v>2026-06-01 to 2026-06-07</v>
      </c>
      <c r="D11" s="6" t="str">
        <f aca="false">'Payroll Register'!E11</f>
        <v>Regular</v>
      </c>
      <c r="E11" s="7" t="n">
        <f aca="false">ROUND('Payroll Register'!F11*'Payroll Register'!G11,2)</f>
        <v>377.71</v>
      </c>
      <c r="F11" s="7" t="n">
        <f aca="false">'Payroll Register'!H11</f>
        <v>377.71</v>
      </c>
      <c r="G11" s="7" t="n">
        <f aca="false">ROUND(F11-E11,2)</f>
        <v>0</v>
      </c>
      <c r="H11" s="6" t="str">
        <f aca="false">IF(COUNTIFS(A$2:A$247,A11,C$2:C$247,C11)&gt;1,"DUPLICATE - REVIEW","OK")</f>
        <v>OK</v>
      </c>
      <c r="I11" s="6" t="str">
        <f aca="false">IF(D11&lt;&gt;"Regular","Off-Cycle - See Register",IF(H11="DUPLICATE - REVIEW","Duplicate Payment",IF(ABS(G11)&gt;0.01,"Gross Pay Discrepancy","Clear")))</f>
        <v>Clear</v>
      </c>
    </row>
    <row r="12" customFormat="false" ht="15" hidden="false" customHeight="false" outlineLevel="0" collapsed="false">
      <c r="A12" s="6" t="str">
        <f aca="false">'Payroll Register'!A12</f>
        <v>E1009</v>
      </c>
      <c r="B12" s="6" t="str">
        <f aca="false">'Payroll Register'!B12</f>
        <v>Employee 010</v>
      </c>
      <c r="C12" s="6" t="str">
        <f aca="false">'Payroll Register'!D12</f>
        <v>2026-06-01 to 2026-06-07</v>
      </c>
      <c r="D12" s="6" t="str">
        <f aca="false">'Payroll Register'!E12</f>
        <v>Regular</v>
      </c>
      <c r="E12" s="7" t="n">
        <f aca="false">ROUND('Payroll Register'!F12*'Payroll Register'!G12,2)</f>
        <v>557.78</v>
      </c>
      <c r="F12" s="7" t="n">
        <f aca="false">'Payroll Register'!H12</f>
        <v>557.78</v>
      </c>
      <c r="G12" s="7" t="n">
        <f aca="false">ROUND(F12-E12,2)</f>
        <v>0</v>
      </c>
      <c r="H12" s="6" t="str">
        <f aca="false">IF(COUNTIFS(A$2:A$247,A12,C$2:C$247,C12)&gt;1,"DUPLICATE - REVIEW","OK")</f>
        <v>OK</v>
      </c>
      <c r="I12" s="6" t="str">
        <f aca="false">IF(D12&lt;&gt;"Regular","Off-Cycle - See Register",IF(H12="DUPLICATE - REVIEW","Duplicate Payment",IF(ABS(G12)&gt;0.01,"Gross Pay Discrepancy","Clear")))</f>
        <v>Clear</v>
      </c>
    </row>
    <row r="13" customFormat="false" ht="15" hidden="false" customHeight="false" outlineLevel="0" collapsed="false">
      <c r="A13" s="6" t="str">
        <f aca="false">'Payroll Register'!A13</f>
        <v>E1010</v>
      </c>
      <c r="B13" s="6" t="str">
        <f aca="false">'Payroll Register'!B13</f>
        <v>Employee 011</v>
      </c>
      <c r="C13" s="6" t="str">
        <f aca="false">'Payroll Register'!D13</f>
        <v>2026-06-01 to 2026-06-07</v>
      </c>
      <c r="D13" s="6" t="str">
        <f aca="false">'Payroll Register'!E13</f>
        <v>Regular</v>
      </c>
      <c r="E13" s="7" t="n">
        <f aca="false">ROUND('Payroll Register'!F13*'Payroll Register'!G13,2)</f>
        <v>675.65</v>
      </c>
      <c r="F13" s="7" t="n">
        <f aca="false">'Payroll Register'!H13</f>
        <v>675.65</v>
      </c>
      <c r="G13" s="7" t="n">
        <f aca="false">ROUND(F13-E13,2)</f>
        <v>0</v>
      </c>
      <c r="H13" s="6" t="str">
        <f aca="false">IF(COUNTIFS(A$2:A$247,A13,C$2:C$247,C13)&gt;1,"DUPLICATE - REVIEW","OK")</f>
        <v>OK</v>
      </c>
      <c r="I13" s="6" t="str">
        <f aca="false">IF(D13&lt;&gt;"Regular","Off-Cycle - See Register",IF(H13="DUPLICATE - REVIEW","Duplicate Payment",IF(ABS(G13)&gt;0.01,"Gross Pay Discrepancy","Clear")))</f>
        <v>Clear</v>
      </c>
    </row>
    <row r="14" customFormat="false" ht="15" hidden="false" customHeight="false" outlineLevel="0" collapsed="false">
      <c r="A14" s="6" t="str">
        <f aca="false">'Payroll Register'!A14</f>
        <v>E1011</v>
      </c>
      <c r="B14" s="6" t="str">
        <f aca="false">'Payroll Register'!B14</f>
        <v>Employee 012</v>
      </c>
      <c r="C14" s="6" t="str">
        <f aca="false">'Payroll Register'!D14</f>
        <v>2026-06-01 to 2026-06-07</v>
      </c>
      <c r="D14" s="6" t="str">
        <f aca="false">'Payroll Register'!E14</f>
        <v>Regular</v>
      </c>
      <c r="E14" s="7" t="n">
        <f aca="false">ROUND('Payroll Register'!F14*'Payroll Register'!G14,2)</f>
        <v>642.39</v>
      </c>
      <c r="F14" s="7" t="n">
        <f aca="false">'Payroll Register'!H14</f>
        <v>672.39</v>
      </c>
      <c r="G14" s="7" t="n">
        <f aca="false">ROUND(F14-E14,2)</f>
        <v>30</v>
      </c>
      <c r="H14" s="6" t="str">
        <f aca="false">IF(COUNTIFS(A$2:A$247,A14,C$2:C$247,C14)&gt;1,"DUPLICATE - REVIEW","OK")</f>
        <v>OK</v>
      </c>
      <c r="I14" s="6" t="str">
        <f aca="false">IF(D14&lt;&gt;"Regular","Off-Cycle - See Register",IF(H14="DUPLICATE - REVIEW","Duplicate Payment",IF(ABS(G14)&gt;0.01,"Gross Pay Discrepancy","Clear")))</f>
        <v>Gross Pay Discrepancy</v>
      </c>
    </row>
    <row r="15" customFormat="false" ht="15" hidden="false" customHeight="false" outlineLevel="0" collapsed="false">
      <c r="A15" s="6" t="str">
        <f aca="false">'Payroll Register'!A15</f>
        <v>E1012</v>
      </c>
      <c r="B15" s="6" t="str">
        <f aca="false">'Payroll Register'!B15</f>
        <v>Employee 013</v>
      </c>
      <c r="C15" s="6" t="str">
        <f aca="false">'Payroll Register'!D15</f>
        <v>2026-06-01 to 2026-06-07</v>
      </c>
      <c r="D15" s="6" t="str">
        <f aca="false">'Payroll Register'!E15</f>
        <v>Regular</v>
      </c>
      <c r="E15" s="7" t="n">
        <f aca="false">ROUND('Payroll Register'!F15*'Payroll Register'!G15,2)</f>
        <v>1115.8</v>
      </c>
      <c r="F15" s="7" t="n">
        <f aca="false">'Payroll Register'!H15</f>
        <v>1115.8</v>
      </c>
      <c r="G15" s="7" t="n">
        <f aca="false">ROUND(F15-E15,2)</f>
        <v>0</v>
      </c>
      <c r="H15" s="6" t="str">
        <f aca="false">IF(COUNTIFS(A$2:A$247,A15,C$2:C$247,C15)&gt;1,"DUPLICATE - REVIEW","OK")</f>
        <v>OK</v>
      </c>
      <c r="I15" s="6" t="str">
        <f aca="false">IF(D15&lt;&gt;"Regular","Off-Cycle - See Register",IF(H15="DUPLICATE - REVIEW","Duplicate Payment",IF(ABS(G15)&gt;0.01,"Gross Pay Discrepancy","Clear")))</f>
        <v>Clear</v>
      </c>
    </row>
    <row r="16" customFormat="false" ht="15" hidden="false" customHeight="false" outlineLevel="0" collapsed="false">
      <c r="A16" s="6" t="str">
        <f aca="false">'Payroll Register'!A16</f>
        <v>E1013</v>
      </c>
      <c r="B16" s="6" t="str">
        <f aca="false">'Payroll Register'!B16</f>
        <v>Employee 014</v>
      </c>
      <c r="C16" s="6" t="str">
        <f aca="false">'Payroll Register'!D16</f>
        <v>2026-06-01 to 2026-06-07</v>
      </c>
      <c r="D16" s="6" t="str">
        <f aca="false">'Payroll Register'!E16</f>
        <v>Regular</v>
      </c>
      <c r="E16" s="7" t="n">
        <f aca="false">ROUND('Payroll Register'!F16*'Payroll Register'!G16,2)</f>
        <v>582.09</v>
      </c>
      <c r="F16" s="7" t="n">
        <f aca="false">'Payroll Register'!H16</f>
        <v>582.09</v>
      </c>
      <c r="G16" s="7" t="n">
        <f aca="false">ROUND(F16-E16,2)</f>
        <v>0</v>
      </c>
      <c r="H16" s="6" t="str">
        <f aca="false">IF(COUNTIFS(A$2:A$247,A16,C$2:C$247,C16)&gt;1,"DUPLICATE - REVIEW","OK")</f>
        <v>OK</v>
      </c>
      <c r="I16" s="6" t="str">
        <f aca="false">IF(D16&lt;&gt;"Regular","Off-Cycle - See Register",IF(H16="DUPLICATE - REVIEW","Duplicate Payment",IF(ABS(G16)&gt;0.01,"Gross Pay Discrepancy","Clear")))</f>
        <v>Clear</v>
      </c>
    </row>
    <row r="17" customFormat="false" ht="15" hidden="false" customHeight="false" outlineLevel="0" collapsed="false">
      <c r="A17" s="6" t="str">
        <f aca="false">'Payroll Register'!A17</f>
        <v>E1014</v>
      </c>
      <c r="B17" s="6" t="str">
        <f aca="false">'Payroll Register'!B17</f>
        <v>Employee 015</v>
      </c>
      <c r="C17" s="6" t="str">
        <f aca="false">'Payroll Register'!D17</f>
        <v>2026-06-01 to 2026-06-07</v>
      </c>
      <c r="D17" s="6" t="str">
        <f aca="false">'Payroll Register'!E17</f>
        <v>Regular</v>
      </c>
      <c r="E17" s="7" t="n">
        <f aca="false">ROUND('Payroll Register'!F17*'Payroll Register'!G17,2)</f>
        <v>338.23</v>
      </c>
      <c r="F17" s="7" t="n">
        <f aca="false">'Payroll Register'!H17</f>
        <v>338.23</v>
      </c>
      <c r="G17" s="7" t="n">
        <f aca="false">ROUND(F17-E17,2)</f>
        <v>0</v>
      </c>
      <c r="H17" s="6" t="str">
        <f aca="false">IF(COUNTIFS(A$2:A$247,A17,C$2:C$247,C17)&gt;1,"DUPLICATE - REVIEW","OK")</f>
        <v>OK</v>
      </c>
      <c r="I17" s="6" t="str">
        <f aca="false">IF(D17&lt;&gt;"Regular","Off-Cycle - See Register",IF(H17="DUPLICATE - REVIEW","Duplicate Payment",IF(ABS(G17)&gt;0.01,"Gross Pay Discrepancy","Clear")))</f>
        <v>Clear</v>
      </c>
    </row>
    <row r="18" customFormat="false" ht="15" hidden="false" customHeight="false" outlineLevel="0" collapsed="false">
      <c r="A18" s="6" t="str">
        <f aca="false">'Payroll Register'!A18</f>
        <v>E1015</v>
      </c>
      <c r="B18" s="6" t="str">
        <f aca="false">'Payroll Register'!B18</f>
        <v>Employee 016</v>
      </c>
      <c r="C18" s="6" t="str">
        <f aca="false">'Payroll Register'!D18</f>
        <v>2026-06-01 to 2026-06-07</v>
      </c>
      <c r="D18" s="6" t="str">
        <f aca="false">'Payroll Register'!E18</f>
        <v>Regular</v>
      </c>
      <c r="E18" s="7" t="n">
        <f aca="false">ROUND('Payroll Register'!F18*'Payroll Register'!G18,2)</f>
        <v>715.66</v>
      </c>
      <c r="F18" s="7" t="n">
        <f aca="false">'Payroll Register'!H18</f>
        <v>715.66</v>
      </c>
      <c r="G18" s="7" t="n">
        <f aca="false">ROUND(F18-E18,2)</f>
        <v>0</v>
      </c>
      <c r="H18" s="6" t="str">
        <f aca="false">IF(COUNTIFS(A$2:A$247,A18,C$2:C$247,C18)&gt;1,"DUPLICATE - REVIEW","OK")</f>
        <v>OK</v>
      </c>
      <c r="I18" s="6" t="str">
        <f aca="false">IF(D18&lt;&gt;"Regular","Off-Cycle - See Register",IF(H18="DUPLICATE - REVIEW","Duplicate Payment",IF(ABS(G18)&gt;0.01,"Gross Pay Discrepancy","Clear")))</f>
        <v>Clear</v>
      </c>
    </row>
    <row r="19" customFormat="false" ht="15" hidden="false" customHeight="false" outlineLevel="0" collapsed="false">
      <c r="A19" s="6" t="str">
        <f aca="false">'Payroll Register'!A19</f>
        <v>E1016</v>
      </c>
      <c r="B19" s="6" t="str">
        <f aca="false">'Payroll Register'!B19</f>
        <v>Employee 017</v>
      </c>
      <c r="C19" s="6" t="str">
        <f aca="false">'Payroll Register'!D19</f>
        <v>2026-06-01 to 2026-06-07</v>
      </c>
      <c r="D19" s="6" t="str">
        <f aca="false">'Payroll Register'!E19</f>
        <v>Regular</v>
      </c>
      <c r="E19" s="7" t="n">
        <f aca="false">ROUND('Payroll Register'!F19*'Payroll Register'!G19,2)</f>
        <v>1000.93</v>
      </c>
      <c r="F19" s="7" t="n">
        <f aca="false">'Payroll Register'!H19</f>
        <v>1000.93</v>
      </c>
      <c r="G19" s="7" t="n">
        <f aca="false">ROUND(F19-E19,2)</f>
        <v>0</v>
      </c>
      <c r="H19" s="6" t="str">
        <f aca="false">IF(COUNTIFS(A$2:A$247,A19,C$2:C$247,C19)&gt;1,"DUPLICATE - REVIEW","OK")</f>
        <v>OK</v>
      </c>
      <c r="I19" s="6" t="str">
        <f aca="false">IF(D19&lt;&gt;"Regular","Off-Cycle - See Register",IF(H19="DUPLICATE - REVIEW","Duplicate Payment",IF(ABS(G19)&gt;0.01,"Gross Pay Discrepancy","Clear")))</f>
        <v>Clear</v>
      </c>
    </row>
    <row r="20" customFormat="false" ht="15" hidden="false" customHeight="false" outlineLevel="0" collapsed="false">
      <c r="A20" s="6" t="str">
        <f aca="false">'Payroll Register'!A20</f>
        <v>E1017</v>
      </c>
      <c r="B20" s="6" t="str">
        <f aca="false">'Payroll Register'!B20</f>
        <v>Employee 018</v>
      </c>
      <c r="C20" s="6" t="str">
        <f aca="false">'Payroll Register'!D20</f>
        <v>2026-06-01 to 2026-06-07</v>
      </c>
      <c r="D20" s="6" t="str">
        <f aca="false">'Payroll Register'!E20</f>
        <v>Regular</v>
      </c>
      <c r="E20" s="7" t="n">
        <f aca="false">ROUND('Payroll Register'!F20*'Payroll Register'!G20,2)</f>
        <v>642.49</v>
      </c>
      <c r="F20" s="7" t="n">
        <f aca="false">'Payroll Register'!H20</f>
        <v>642.49</v>
      </c>
      <c r="G20" s="7" t="n">
        <f aca="false">ROUND(F20-E20,2)</f>
        <v>0</v>
      </c>
      <c r="H20" s="6" t="str">
        <f aca="false">IF(COUNTIFS(A$2:A$247,A20,C$2:C$247,C20)&gt;1,"DUPLICATE - REVIEW","OK")</f>
        <v>OK</v>
      </c>
      <c r="I20" s="6" t="str">
        <f aca="false">IF(D20&lt;&gt;"Regular","Off-Cycle - See Register",IF(H20="DUPLICATE - REVIEW","Duplicate Payment",IF(ABS(G20)&gt;0.01,"Gross Pay Discrepancy","Clear")))</f>
        <v>Clear</v>
      </c>
    </row>
    <row r="21" customFormat="false" ht="15" hidden="false" customHeight="false" outlineLevel="0" collapsed="false">
      <c r="A21" s="6" t="str">
        <f aca="false">'Payroll Register'!A21</f>
        <v>E1018</v>
      </c>
      <c r="B21" s="6" t="str">
        <f aca="false">'Payroll Register'!B21</f>
        <v>Employee 019</v>
      </c>
      <c r="C21" s="6" t="str">
        <f aca="false">'Payroll Register'!D21</f>
        <v>2026-06-01 to 2026-06-07</v>
      </c>
      <c r="D21" s="6" t="str">
        <f aca="false">'Payroll Register'!E21</f>
        <v>Regular</v>
      </c>
      <c r="E21" s="7" t="n">
        <f aca="false">ROUND('Payroll Register'!F21*'Payroll Register'!G21,2)</f>
        <v>727.24</v>
      </c>
      <c r="F21" s="7" t="n">
        <f aca="false">'Payroll Register'!H21</f>
        <v>727.24</v>
      </c>
      <c r="G21" s="7" t="n">
        <f aca="false">ROUND(F21-E21,2)</f>
        <v>0</v>
      </c>
      <c r="H21" s="6" t="str">
        <f aca="false">IF(COUNTIFS(A$2:A$247,A21,C$2:C$247,C21)&gt;1,"DUPLICATE - REVIEW","OK")</f>
        <v>OK</v>
      </c>
      <c r="I21" s="6" t="str">
        <f aca="false">IF(D21&lt;&gt;"Regular","Off-Cycle - See Register",IF(H21="DUPLICATE - REVIEW","Duplicate Payment",IF(ABS(G21)&gt;0.01,"Gross Pay Discrepancy","Clear")))</f>
        <v>Clear</v>
      </c>
    </row>
    <row r="22" customFormat="false" ht="15" hidden="false" customHeight="false" outlineLevel="0" collapsed="false">
      <c r="A22" s="6" t="str">
        <f aca="false">'Payroll Register'!A22</f>
        <v>E1019</v>
      </c>
      <c r="B22" s="6" t="str">
        <f aca="false">'Payroll Register'!B22</f>
        <v>Employee 020</v>
      </c>
      <c r="C22" s="6" t="str">
        <f aca="false">'Payroll Register'!D22</f>
        <v>2026-06-01 to 2026-06-07</v>
      </c>
      <c r="D22" s="6" t="str">
        <f aca="false">'Payroll Register'!E22</f>
        <v>Regular</v>
      </c>
      <c r="E22" s="7" t="n">
        <f aca="false">ROUND('Payroll Register'!F22*'Payroll Register'!G22,2)</f>
        <v>797.15</v>
      </c>
      <c r="F22" s="7" t="n">
        <f aca="false">'Payroll Register'!H22</f>
        <v>797.15</v>
      </c>
      <c r="G22" s="7" t="n">
        <f aca="false">ROUND(F22-E22,2)</f>
        <v>0</v>
      </c>
      <c r="H22" s="6" t="str">
        <f aca="false">IF(COUNTIFS(A$2:A$247,A22,C$2:C$247,C22)&gt;1,"DUPLICATE - REVIEW","OK")</f>
        <v>OK</v>
      </c>
      <c r="I22" s="6" t="str">
        <f aca="false">IF(D22&lt;&gt;"Regular","Off-Cycle - See Register",IF(H22="DUPLICATE - REVIEW","Duplicate Payment",IF(ABS(G22)&gt;0.01,"Gross Pay Discrepancy","Clear")))</f>
        <v>Clear</v>
      </c>
    </row>
    <row r="23" customFormat="false" ht="15" hidden="false" customHeight="false" outlineLevel="0" collapsed="false">
      <c r="A23" s="6" t="str">
        <f aca="false">'Payroll Register'!A23</f>
        <v>E1020</v>
      </c>
      <c r="B23" s="6" t="str">
        <f aca="false">'Payroll Register'!B23</f>
        <v>Employee 021</v>
      </c>
      <c r="C23" s="6" t="str">
        <f aca="false">'Payroll Register'!D23</f>
        <v>2026-06-01 to 2026-06-07</v>
      </c>
      <c r="D23" s="6" t="str">
        <f aca="false">'Payroll Register'!E23</f>
        <v>Regular</v>
      </c>
      <c r="E23" s="7" t="n">
        <f aca="false">ROUND('Payroll Register'!F23*'Payroll Register'!G23,2)</f>
        <v>376.54</v>
      </c>
      <c r="F23" s="7" t="n">
        <f aca="false">'Payroll Register'!H23</f>
        <v>376.54</v>
      </c>
      <c r="G23" s="7" t="n">
        <f aca="false">ROUND(F23-E23,2)</f>
        <v>0</v>
      </c>
      <c r="H23" s="6" t="str">
        <f aca="false">IF(COUNTIFS(A$2:A$247,A23,C$2:C$247,C23)&gt;1,"DUPLICATE - REVIEW","OK")</f>
        <v>OK</v>
      </c>
      <c r="I23" s="6" t="str">
        <f aca="false">IF(D23&lt;&gt;"Regular","Off-Cycle - See Register",IF(H23="DUPLICATE - REVIEW","Duplicate Payment",IF(ABS(G23)&gt;0.01,"Gross Pay Discrepancy","Clear")))</f>
        <v>Clear</v>
      </c>
    </row>
    <row r="24" customFormat="false" ht="15" hidden="false" customHeight="false" outlineLevel="0" collapsed="false">
      <c r="A24" s="6" t="str">
        <f aca="false">'Payroll Register'!A24</f>
        <v>E1021</v>
      </c>
      <c r="B24" s="6" t="str">
        <f aca="false">'Payroll Register'!B24</f>
        <v>Employee 022</v>
      </c>
      <c r="C24" s="6" t="str">
        <f aca="false">'Payroll Register'!D24</f>
        <v>2026-06-01 to 2026-06-07</v>
      </c>
      <c r="D24" s="6" t="str">
        <f aca="false">'Payroll Register'!E24</f>
        <v>Regular</v>
      </c>
      <c r="E24" s="7" t="n">
        <f aca="false">ROUND('Payroll Register'!F24*'Payroll Register'!G24,2)</f>
        <v>488.37</v>
      </c>
      <c r="F24" s="7" t="n">
        <f aca="false">'Payroll Register'!H24</f>
        <v>488.37</v>
      </c>
      <c r="G24" s="7" t="n">
        <f aca="false">ROUND(F24-E24,2)</f>
        <v>0</v>
      </c>
      <c r="H24" s="6" t="str">
        <f aca="false">IF(COUNTIFS(A$2:A$247,A24,C$2:C$247,C24)&gt;1,"DUPLICATE - REVIEW","OK")</f>
        <v>OK</v>
      </c>
      <c r="I24" s="6" t="str">
        <f aca="false">IF(D24&lt;&gt;"Regular","Off-Cycle - See Register",IF(H24="DUPLICATE - REVIEW","Duplicate Payment",IF(ABS(G24)&gt;0.01,"Gross Pay Discrepancy","Clear")))</f>
        <v>Clear</v>
      </c>
    </row>
    <row r="25" customFormat="false" ht="15" hidden="false" customHeight="false" outlineLevel="0" collapsed="false">
      <c r="A25" s="6" t="str">
        <f aca="false">'Payroll Register'!A25</f>
        <v>E1022</v>
      </c>
      <c r="B25" s="6" t="str">
        <f aca="false">'Payroll Register'!B25</f>
        <v>Employee 023</v>
      </c>
      <c r="C25" s="6" t="str">
        <f aca="false">'Payroll Register'!D25</f>
        <v>2026-06-01 to 2026-06-07</v>
      </c>
      <c r="D25" s="6" t="str">
        <f aca="false">'Payroll Register'!E25</f>
        <v>Regular</v>
      </c>
      <c r="E25" s="7" t="n">
        <f aca="false">ROUND('Payroll Register'!F25*'Payroll Register'!G25,2)</f>
        <v>285.38</v>
      </c>
      <c r="F25" s="7" t="n">
        <f aca="false">'Payroll Register'!H25</f>
        <v>285.38</v>
      </c>
      <c r="G25" s="7" t="n">
        <f aca="false">ROUND(F25-E25,2)</f>
        <v>0</v>
      </c>
      <c r="H25" s="6" t="str">
        <f aca="false">IF(COUNTIFS(A$2:A$247,A25,C$2:C$247,C25)&gt;1,"DUPLICATE - REVIEW","OK")</f>
        <v>OK</v>
      </c>
      <c r="I25" s="6" t="str">
        <f aca="false">IF(D25&lt;&gt;"Regular","Off-Cycle - See Register",IF(H25="DUPLICATE - REVIEW","Duplicate Payment",IF(ABS(G25)&gt;0.01,"Gross Pay Discrepancy","Clear")))</f>
        <v>Clear</v>
      </c>
    </row>
    <row r="26" customFormat="false" ht="15" hidden="false" customHeight="false" outlineLevel="0" collapsed="false">
      <c r="A26" s="6" t="str">
        <f aca="false">'Payroll Register'!A26</f>
        <v>E1023</v>
      </c>
      <c r="B26" s="6" t="str">
        <f aca="false">'Payroll Register'!B26</f>
        <v>Employee 024</v>
      </c>
      <c r="C26" s="6" t="str">
        <f aca="false">'Payroll Register'!D26</f>
        <v>2026-06-01 to 2026-06-07</v>
      </c>
      <c r="D26" s="6" t="str">
        <f aca="false">'Payroll Register'!E26</f>
        <v>Regular</v>
      </c>
      <c r="E26" s="7" t="n">
        <f aca="false">ROUND('Payroll Register'!F26*'Payroll Register'!G26,2)</f>
        <v>493.37</v>
      </c>
      <c r="F26" s="7" t="n">
        <f aca="false">'Payroll Register'!H26</f>
        <v>493.37</v>
      </c>
      <c r="G26" s="7" t="n">
        <f aca="false">ROUND(F26-E26,2)</f>
        <v>0</v>
      </c>
      <c r="H26" s="6" t="str">
        <f aca="false">IF(COUNTIFS(A$2:A$247,A26,C$2:C$247,C26)&gt;1,"DUPLICATE - REVIEW","OK")</f>
        <v>OK</v>
      </c>
      <c r="I26" s="6" t="str">
        <f aca="false">IF(D26&lt;&gt;"Regular","Off-Cycle - See Register",IF(H26="DUPLICATE - REVIEW","Duplicate Payment",IF(ABS(G26)&gt;0.01,"Gross Pay Discrepancy","Clear")))</f>
        <v>Clear</v>
      </c>
    </row>
    <row r="27" customFormat="false" ht="15" hidden="false" customHeight="false" outlineLevel="0" collapsed="false">
      <c r="A27" s="6" t="str">
        <f aca="false">'Payroll Register'!A27</f>
        <v>E1024</v>
      </c>
      <c r="B27" s="6" t="str">
        <f aca="false">'Payroll Register'!B27</f>
        <v>Employee 025</v>
      </c>
      <c r="C27" s="6" t="str">
        <f aca="false">'Payroll Register'!D27</f>
        <v>2026-06-01 to 2026-06-07</v>
      </c>
      <c r="D27" s="6" t="str">
        <f aca="false">'Payroll Register'!E27</f>
        <v>Regular</v>
      </c>
      <c r="E27" s="7" t="n">
        <f aca="false">ROUND('Payroll Register'!F27*'Payroll Register'!G27,2)</f>
        <v>564.54</v>
      </c>
      <c r="F27" s="7" t="n">
        <f aca="false">'Payroll Register'!H27</f>
        <v>564.54</v>
      </c>
      <c r="G27" s="7" t="n">
        <f aca="false">ROUND(F27-E27,2)</f>
        <v>0</v>
      </c>
      <c r="H27" s="6" t="str">
        <f aca="false">IF(COUNTIFS(A$2:A$247,A27,C$2:C$247,C27)&gt;1,"DUPLICATE - REVIEW","OK")</f>
        <v>OK</v>
      </c>
      <c r="I27" s="6" t="str">
        <f aca="false">IF(D27&lt;&gt;"Regular","Off-Cycle - See Register",IF(H27="DUPLICATE - REVIEW","Duplicate Payment",IF(ABS(G27)&gt;0.01,"Gross Pay Discrepancy","Clear")))</f>
        <v>Clear</v>
      </c>
    </row>
    <row r="28" customFormat="false" ht="15" hidden="false" customHeight="false" outlineLevel="0" collapsed="false">
      <c r="A28" s="6" t="str">
        <f aca="false">'Payroll Register'!A28</f>
        <v>E1025</v>
      </c>
      <c r="B28" s="6" t="str">
        <f aca="false">'Payroll Register'!B28</f>
        <v>Employee 026</v>
      </c>
      <c r="C28" s="6" t="str">
        <f aca="false">'Payroll Register'!D28</f>
        <v>2026-06-01 to 2026-06-07</v>
      </c>
      <c r="D28" s="6" t="str">
        <f aca="false">'Payroll Register'!E28</f>
        <v>Regular</v>
      </c>
      <c r="E28" s="7" t="n">
        <f aca="false">ROUND('Payroll Register'!F28*'Payroll Register'!G28,2)</f>
        <v>455.58</v>
      </c>
      <c r="F28" s="7" t="n">
        <f aca="false">'Payroll Register'!H28</f>
        <v>455.58</v>
      </c>
      <c r="G28" s="7" t="n">
        <f aca="false">ROUND(F28-E28,2)</f>
        <v>0</v>
      </c>
      <c r="H28" s="6" t="str">
        <f aca="false">IF(COUNTIFS(A$2:A$247,A28,C$2:C$247,C28)&gt;1,"DUPLICATE - REVIEW","OK")</f>
        <v>OK</v>
      </c>
      <c r="I28" s="6" t="str">
        <f aca="false">IF(D28&lt;&gt;"Regular","Off-Cycle - See Register",IF(H28="DUPLICATE - REVIEW","Duplicate Payment",IF(ABS(G28)&gt;0.01,"Gross Pay Discrepancy","Clear")))</f>
        <v>Clear</v>
      </c>
    </row>
    <row r="29" customFormat="false" ht="15" hidden="false" customHeight="false" outlineLevel="0" collapsed="false">
      <c r="A29" s="6" t="str">
        <f aca="false">'Payroll Register'!A29</f>
        <v>E1026</v>
      </c>
      <c r="B29" s="6" t="str">
        <f aca="false">'Payroll Register'!B29</f>
        <v>Employee 027</v>
      </c>
      <c r="C29" s="6" t="str">
        <f aca="false">'Payroll Register'!D29</f>
        <v>2026-06-01 to 2026-06-07</v>
      </c>
      <c r="D29" s="6" t="str">
        <f aca="false">'Payroll Register'!E29</f>
        <v>Regular</v>
      </c>
      <c r="E29" s="7" t="n">
        <f aca="false">ROUND('Payroll Register'!F29*'Payroll Register'!G29,2)</f>
        <v>395.92</v>
      </c>
      <c r="F29" s="7" t="n">
        <f aca="false">'Payroll Register'!H29</f>
        <v>395.92</v>
      </c>
      <c r="G29" s="7" t="n">
        <f aca="false">ROUND(F29-E29,2)</f>
        <v>0</v>
      </c>
      <c r="H29" s="6" t="str">
        <f aca="false">IF(COUNTIFS(A$2:A$247,A29,C$2:C$247,C29)&gt;1,"DUPLICATE - REVIEW","OK")</f>
        <v>OK</v>
      </c>
      <c r="I29" s="6" t="str">
        <f aca="false">IF(D29&lt;&gt;"Regular","Off-Cycle - See Register",IF(H29="DUPLICATE - REVIEW","Duplicate Payment",IF(ABS(G29)&gt;0.01,"Gross Pay Discrepancy","Clear")))</f>
        <v>Clear</v>
      </c>
    </row>
    <row r="30" customFormat="false" ht="15" hidden="false" customHeight="false" outlineLevel="0" collapsed="false">
      <c r="A30" s="6" t="str">
        <f aca="false">'Payroll Register'!A30</f>
        <v>E1027</v>
      </c>
      <c r="B30" s="6" t="str">
        <f aca="false">'Payroll Register'!B30</f>
        <v>Employee 028</v>
      </c>
      <c r="C30" s="6" t="str">
        <f aca="false">'Payroll Register'!D30</f>
        <v>2026-06-01 to 2026-06-07</v>
      </c>
      <c r="D30" s="6" t="str">
        <f aca="false">'Payroll Register'!E30</f>
        <v>Regular</v>
      </c>
      <c r="E30" s="7" t="n">
        <f aca="false">ROUND('Payroll Register'!F30*'Payroll Register'!G30,2)</f>
        <v>608.5</v>
      </c>
      <c r="F30" s="7" t="n">
        <f aca="false">'Payroll Register'!H30</f>
        <v>608.5</v>
      </c>
      <c r="G30" s="7" t="n">
        <f aca="false">ROUND(F30-E30,2)</f>
        <v>0</v>
      </c>
      <c r="H30" s="6" t="str">
        <f aca="false">IF(COUNTIFS(A$2:A$247,A30,C$2:C$247,C30)&gt;1,"DUPLICATE - REVIEW","OK")</f>
        <v>DUPLICATE - REVIEW</v>
      </c>
      <c r="I30" s="6" t="str">
        <f aca="false">IF(D30&lt;&gt;"Regular","Off-Cycle - See Register",IF(H30="DUPLICATE - REVIEW","Duplicate Payment",IF(ABS(G30)&gt;0.01,"Gross Pay Discrepancy","Clear")))</f>
        <v>Duplicate Payment</v>
      </c>
    </row>
    <row r="31" customFormat="false" ht="15" hidden="false" customHeight="false" outlineLevel="0" collapsed="false">
      <c r="A31" s="6" t="str">
        <f aca="false">'Payroll Register'!A31</f>
        <v>E1028</v>
      </c>
      <c r="B31" s="6" t="str">
        <f aca="false">'Payroll Register'!B31</f>
        <v>Employee 029</v>
      </c>
      <c r="C31" s="6" t="str">
        <f aca="false">'Payroll Register'!D31</f>
        <v>2026-06-01 to 2026-06-07</v>
      </c>
      <c r="D31" s="6" t="str">
        <f aca="false">'Payroll Register'!E31</f>
        <v>Regular</v>
      </c>
      <c r="E31" s="7" t="n">
        <f aca="false">ROUND('Payroll Register'!F31*'Payroll Register'!G31,2)</f>
        <v>443.29</v>
      </c>
      <c r="F31" s="7" t="n">
        <f aca="false">'Payroll Register'!H31</f>
        <v>443.29</v>
      </c>
      <c r="G31" s="7" t="n">
        <f aca="false">ROUND(F31-E31,2)</f>
        <v>0</v>
      </c>
      <c r="H31" s="6" t="str">
        <f aca="false">IF(COUNTIFS(A$2:A$247,A31,C$2:C$247,C31)&gt;1,"DUPLICATE - REVIEW","OK")</f>
        <v>OK</v>
      </c>
      <c r="I31" s="6" t="str">
        <f aca="false">IF(D31&lt;&gt;"Regular","Off-Cycle - See Register",IF(H31="DUPLICATE - REVIEW","Duplicate Payment",IF(ABS(G31)&gt;0.01,"Gross Pay Discrepancy","Clear")))</f>
        <v>Clear</v>
      </c>
    </row>
    <row r="32" customFormat="false" ht="15" hidden="false" customHeight="false" outlineLevel="0" collapsed="false">
      <c r="A32" s="6" t="str">
        <f aca="false">'Payroll Register'!A32</f>
        <v>E1029</v>
      </c>
      <c r="B32" s="6" t="str">
        <f aca="false">'Payroll Register'!B32</f>
        <v>Employee 030</v>
      </c>
      <c r="C32" s="6" t="str">
        <f aca="false">'Payroll Register'!D32</f>
        <v>2026-06-01 to 2026-06-07</v>
      </c>
      <c r="D32" s="6" t="str">
        <f aca="false">'Payroll Register'!E32</f>
        <v>Regular</v>
      </c>
      <c r="E32" s="7" t="n">
        <f aca="false">ROUND('Payroll Register'!F32*'Payroll Register'!G32,2)</f>
        <v>446.95</v>
      </c>
      <c r="F32" s="7" t="n">
        <f aca="false">'Payroll Register'!H32</f>
        <v>446.95</v>
      </c>
      <c r="G32" s="7" t="n">
        <f aca="false">ROUND(F32-E32,2)</f>
        <v>0</v>
      </c>
      <c r="H32" s="6" t="str">
        <f aca="false">IF(COUNTIFS(A$2:A$247,A32,C$2:C$247,C32)&gt;1,"DUPLICATE - REVIEW","OK")</f>
        <v>OK</v>
      </c>
      <c r="I32" s="6" t="str">
        <f aca="false">IF(D32&lt;&gt;"Regular","Off-Cycle - See Register",IF(H32="DUPLICATE - REVIEW","Duplicate Payment",IF(ABS(G32)&gt;0.01,"Gross Pay Discrepancy","Clear")))</f>
        <v>Clear</v>
      </c>
    </row>
    <row r="33" customFormat="false" ht="15" hidden="false" customHeight="false" outlineLevel="0" collapsed="false">
      <c r="A33" s="6" t="str">
        <f aca="false">'Payroll Register'!A33</f>
        <v>E1030</v>
      </c>
      <c r="B33" s="6" t="str">
        <f aca="false">'Payroll Register'!B33</f>
        <v>Employee 031</v>
      </c>
      <c r="C33" s="6" t="str">
        <f aca="false">'Payroll Register'!D33</f>
        <v>2026-06-01 to 2026-06-07</v>
      </c>
      <c r="D33" s="6" t="str">
        <f aca="false">'Payroll Register'!E33</f>
        <v>Regular</v>
      </c>
      <c r="E33" s="7" t="n">
        <f aca="false">ROUND('Payroll Register'!F33*'Payroll Register'!G33,2)</f>
        <v>391.31</v>
      </c>
      <c r="F33" s="7" t="n">
        <f aca="false">'Payroll Register'!H33</f>
        <v>391.31</v>
      </c>
      <c r="G33" s="7" t="n">
        <f aca="false">ROUND(F33-E33,2)</f>
        <v>0</v>
      </c>
      <c r="H33" s="6" t="str">
        <f aca="false">IF(COUNTIFS(A$2:A$247,A33,C$2:C$247,C33)&gt;1,"DUPLICATE - REVIEW","OK")</f>
        <v>OK</v>
      </c>
      <c r="I33" s="6" t="str">
        <f aca="false">IF(D33&lt;&gt;"Regular","Off-Cycle - See Register",IF(H33="DUPLICATE - REVIEW","Duplicate Payment",IF(ABS(G33)&gt;0.01,"Gross Pay Discrepancy","Clear")))</f>
        <v>Clear</v>
      </c>
    </row>
    <row r="34" customFormat="false" ht="15" hidden="false" customHeight="false" outlineLevel="0" collapsed="false">
      <c r="A34" s="6" t="str">
        <f aca="false">'Payroll Register'!A34</f>
        <v>E1031</v>
      </c>
      <c r="B34" s="6" t="str">
        <f aca="false">'Payroll Register'!B34</f>
        <v>Employee 032</v>
      </c>
      <c r="C34" s="6" t="str">
        <f aca="false">'Payroll Register'!D34</f>
        <v>2026-06-01 to 2026-06-07</v>
      </c>
      <c r="D34" s="6" t="str">
        <f aca="false">'Payroll Register'!E34</f>
        <v>Regular</v>
      </c>
      <c r="E34" s="7" t="n">
        <f aca="false">ROUND('Payroll Register'!F34*'Payroll Register'!G34,2)</f>
        <v>444.95</v>
      </c>
      <c r="F34" s="7" t="n">
        <f aca="false">'Payroll Register'!H34</f>
        <v>444.95</v>
      </c>
      <c r="G34" s="7" t="n">
        <f aca="false">ROUND(F34-E34,2)</f>
        <v>0</v>
      </c>
      <c r="H34" s="6" t="str">
        <f aca="false">IF(COUNTIFS(A$2:A$247,A34,C$2:C$247,C34)&gt;1,"DUPLICATE - REVIEW","OK")</f>
        <v>OK</v>
      </c>
      <c r="I34" s="6" t="str">
        <f aca="false">IF(D34&lt;&gt;"Regular","Off-Cycle - See Register",IF(H34="DUPLICATE - REVIEW","Duplicate Payment",IF(ABS(G34)&gt;0.01,"Gross Pay Discrepancy","Clear")))</f>
        <v>Clear</v>
      </c>
    </row>
    <row r="35" customFormat="false" ht="15" hidden="false" customHeight="false" outlineLevel="0" collapsed="false">
      <c r="A35" s="6" t="str">
        <f aca="false">'Payroll Register'!A35</f>
        <v>E1032</v>
      </c>
      <c r="B35" s="6" t="str">
        <f aca="false">'Payroll Register'!B35</f>
        <v>Employee 033</v>
      </c>
      <c r="C35" s="6" t="str">
        <f aca="false">'Payroll Register'!D35</f>
        <v>2026-06-01 to 2026-06-07</v>
      </c>
      <c r="D35" s="6" t="str">
        <f aca="false">'Payroll Register'!E35</f>
        <v>Regular</v>
      </c>
      <c r="E35" s="7" t="n">
        <f aca="false">ROUND('Payroll Register'!F35*'Payroll Register'!G35,2)</f>
        <v>464.78</v>
      </c>
      <c r="F35" s="7" t="n">
        <f aca="false">'Payroll Register'!H35</f>
        <v>444.78</v>
      </c>
      <c r="G35" s="7" t="n">
        <f aca="false">ROUND(F35-E35,2)</f>
        <v>-20</v>
      </c>
      <c r="H35" s="6" t="str">
        <f aca="false">IF(COUNTIFS(A$2:A$247,A35,C$2:C$247,C35)&gt;1,"DUPLICATE - REVIEW","OK")</f>
        <v>OK</v>
      </c>
      <c r="I35" s="6" t="str">
        <f aca="false">IF(D35&lt;&gt;"Regular","Off-Cycle - See Register",IF(H35="DUPLICATE - REVIEW","Duplicate Payment",IF(ABS(G35)&gt;0.01,"Gross Pay Discrepancy","Clear")))</f>
        <v>Gross Pay Discrepancy</v>
      </c>
    </row>
    <row r="36" customFormat="false" ht="15" hidden="false" customHeight="false" outlineLevel="0" collapsed="false">
      <c r="A36" s="6" t="str">
        <f aca="false">'Payroll Register'!A36</f>
        <v>E1033</v>
      </c>
      <c r="B36" s="6" t="str">
        <f aca="false">'Payroll Register'!B36</f>
        <v>Employee 034</v>
      </c>
      <c r="C36" s="6" t="str">
        <f aca="false">'Payroll Register'!D36</f>
        <v>2026-06-01 to 2026-06-07</v>
      </c>
      <c r="D36" s="6" t="str">
        <f aca="false">'Payroll Register'!E36</f>
        <v>Regular</v>
      </c>
      <c r="E36" s="7" t="n">
        <f aca="false">ROUND('Payroll Register'!F36*'Payroll Register'!G36,2)</f>
        <v>574.94</v>
      </c>
      <c r="F36" s="7" t="n">
        <f aca="false">'Payroll Register'!H36</f>
        <v>574.94</v>
      </c>
      <c r="G36" s="7" t="n">
        <f aca="false">ROUND(F36-E36,2)</f>
        <v>0</v>
      </c>
      <c r="H36" s="6" t="str">
        <f aca="false">IF(COUNTIFS(A$2:A$247,A36,C$2:C$247,C36)&gt;1,"DUPLICATE - REVIEW","OK")</f>
        <v>OK</v>
      </c>
      <c r="I36" s="6" t="str">
        <f aca="false">IF(D36&lt;&gt;"Regular","Off-Cycle - See Register",IF(H36="DUPLICATE - REVIEW","Duplicate Payment",IF(ABS(G36)&gt;0.01,"Gross Pay Discrepancy","Clear")))</f>
        <v>Clear</v>
      </c>
    </row>
    <row r="37" customFormat="false" ht="15" hidden="false" customHeight="false" outlineLevel="0" collapsed="false">
      <c r="A37" s="6" t="str">
        <f aca="false">'Payroll Register'!A37</f>
        <v>E1034</v>
      </c>
      <c r="B37" s="6" t="str">
        <f aca="false">'Payroll Register'!B37</f>
        <v>Employee 035</v>
      </c>
      <c r="C37" s="6" t="str">
        <f aca="false">'Payroll Register'!D37</f>
        <v>2026-06-01 to 2026-06-07</v>
      </c>
      <c r="D37" s="6" t="str">
        <f aca="false">'Payroll Register'!E37</f>
        <v>Regular</v>
      </c>
      <c r="E37" s="7" t="n">
        <f aca="false">ROUND('Payroll Register'!F37*'Payroll Register'!G37,2)</f>
        <v>773.41</v>
      </c>
      <c r="F37" s="7" t="n">
        <f aca="false">'Payroll Register'!H37</f>
        <v>773.41</v>
      </c>
      <c r="G37" s="7" t="n">
        <f aca="false">ROUND(F37-E37,2)</f>
        <v>0</v>
      </c>
      <c r="H37" s="6" t="str">
        <f aca="false">IF(COUNTIFS(A$2:A$247,A37,C$2:C$247,C37)&gt;1,"DUPLICATE - REVIEW","OK")</f>
        <v>OK</v>
      </c>
      <c r="I37" s="6" t="str">
        <f aca="false">IF(D37&lt;&gt;"Regular","Off-Cycle - See Register",IF(H37="DUPLICATE - REVIEW","Duplicate Payment",IF(ABS(G37)&gt;0.01,"Gross Pay Discrepancy","Clear")))</f>
        <v>Clear</v>
      </c>
    </row>
    <row r="38" customFormat="false" ht="15" hidden="false" customHeight="false" outlineLevel="0" collapsed="false">
      <c r="A38" s="6" t="str">
        <f aca="false">'Payroll Register'!A38</f>
        <v>E1035</v>
      </c>
      <c r="B38" s="6" t="str">
        <f aca="false">'Payroll Register'!B38</f>
        <v>Employee 036</v>
      </c>
      <c r="C38" s="6" t="str">
        <f aca="false">'Payroll Register'!D38</f>
        <v>2026-06-01 to 2026-06-07</v>
      </c>
      <c r="D38" s="6" t="str">
        <f aca="false">'Payroll Register'!E38</f>
        <v>Regular</v>
      </c>
      <c r="E38" s="7" t="n">
        <f aca="false">ROUND('Payroll Register'!F38*'Payroll Register'!G38,2)</f>
        <v>557.34</v>
      </c>
      <c r="F38" s="7" t="n">
        <f aca="false">'Payroll Register'!H38</f>
        <v>557.34</v>
      </c>
      <c r="G38" s="7" t="n">
        <f aca="false">ROUND(F38-E38,2)</f>
        <v>0</v>
      </c>
      <c r="H38" s="6" t="str">
        <f aca="false">IF(COUNTIFS(A$2:A$247,A38,C$2:C$247,C38)&gt;1,"DUPLICATE - REVIEW","OK")</f>
        <v>OK</v>
      </c>
      <c r="I38" s="6" t="str">
        <f aca="false">IF(D38&lt;&gt;"Regular","Off-Cycle - See Register",IF(H38="DUPLICATE - REVIEW","Duplicate Payment",IF(ABS(G38)&gt;0.01,"Gross Pay Discrepancy","Clear")))</f>
        <v>Clear</v>
      </c>
    </row>
    <row r="39" customFormat="false" ht="15" hidden="false" customHeight="false" outlineLevel="0" collapsed="false">
      <c r="A39" s="6" t="str">
        <f aca="false">'Payroll Register'!A39</f>
        <v>E1036</v>
      </c>
      <c r="B39" s="6" t="str">
        <f aca="false">'Payroll Register'!B39</f>
        <v>Employee 037</v>
      </c>
      <c r="C39" s="6" t="str">
        <f aca="false">'Payroll Register'!D39</f>
        <v>2026-06-01 to 2026-06-07</v>
      </c>
      <c r="D39" s="6" t="str">
        <f aca="false">'Payroll Register'!E39</f>
        <v>Regular</v>
      </c>
      <c r="E39" s="7" t="n">
        <f aca="false">ROUND('Payroll Register'!F39*'Payroll Register'!G39,2)</f>
        <v>957.3</v>
      </c>
      <c r="F39" s="7" t="n">
        <f aca="false">'Payroll Register'!H39</f>
        <v>957.3</v>
      </c>
      <c r="G39" s="7" t="n">
        <f aca="false">ROUND(F39-E39,2)</f>
        <v>0</v>
      </c>
      <c r="H39" s="6" t="str">
        <f aca="false">IF(COUNTIFS(A$2:A$247,A39,C$2:C$247,C39)&gt;1,"DUPLICATE - REVIEW","OK")</f>
        <v>OK</v>
      </c>
      <c r="I39" s="6" t="str">
        <f aca="false">IF(D39&lt;&gt;"Regular","Off-Cycle - See Register",IF(H39="DUPLICATE - REVIEW","Duplicate Payment",IF(ABS(G39)&gt;0.01,"Gross Pay Discrepancy","Clear")))</f>
        <v>Clear</v>
      </c>
    </row>
    <row r="40" customFormat="false" ht="15" hidden="false" customHeight="false" outlineLevel="0" collapsed="false">
      <c r="A40" s="6" t="str">
        <f aca="false">'Payroll Register'!A40</f>
        <v>E1037</v>
      </c>
      <c r="B40" s="6" t="str">
        <f aca="false">'Payroll Register'!B40</f>
        <v>Employee 038</v>
      </c>
      <c r="C40" s="6" t="str">
        <f aca="false">'Payroll Register'!D40</f>
        <v>2026-06-01 to 2026-06-07</v>
      </c>
      <c r="D40" s="6" t="str">
        <f aca="false">'Payroll Register'!E40</f>
        <v>Regular</v>
      </c>
      <c r="E40" s="7" t="n">
        <f aca="false">ROUND('Payroll Register'!F40*'Payroll Register'!G40,2)</f>
        <v>567.15</v>
      </c>
      <c r="F40" s="7" t="n">
        <f aca="false">'Payroll Register'!H40</f>
        <v>567.15</v>
      </c>
      <c r="G40" s="7" t="n">
        <f aca="false">ROUND(F40-E40,2)</f>
        <v>0</v>
      </c>
      <c r="H40" s="6" t="str">
        <f aca="false">IF(COUNTIFS(A$2:A$247,A40,C$2:C$247,C40)&gt;1,"DUPLICATE - REVIEW","OK")</f>
        <v>OK</v>
      </c>
      <c r="I40" s="6" t="str">
        <f aca="false">IF(D40&lt;&gt;"Regular","Off-Cycle - See Register",IF(H40="DUPLICATE - REVIEW","Duplicate Payment",IF(ABS(G40)&gt;0.01,"Gross Pay Discrepancy","Clear")))</f>
        <v>Clear</v>
      </c>
    </row>
    <row r="41" customFormat="false" ht="15" hidden="false" customHeight="false" outlineLevel="0" collapsed="false">
      <c r="A41" s="6" t="str">
        <f aca="false">'Payroll Register'!A41</f>
        <v>E1038</v>
      </c>
      <c r="B41" s="6" t="str">
        <f aca="false">'Payroll Register'!B41</f>
        <v>Employee 039</v>
      </c>
      <c r="C41" s="6" t="str">
        <f aca="false">'Payroll Register'!D41</f>
        <v>2026-06-01 to 2026-06-07</v>
      </c>
      <c r="D41" s="6" t="str">
        <f aca="false">'Payroll Register'!E41</f>
        <v>Regular</v>
      </c>
      <c r="E41" s="7" t="n">
        <f aca="false">ROUND('Payroll Register'!F41*'Payroll Register'!G41,2)</f>
        <v>650.9</v>
      </c>
      <c r="F41" s="7" t="n">
        <f aca="false">'Payroll Register'!H41</f>
        <v>650.9</v>
      </c>
      <c r="G41" s="7" t="n">
        <f aca="false">ROUND(F41-E41,2)</f>
        <v>0</v>
      </c>
      <c r="H41" s="6" t="str">
        <f aca="false">IF(COUNTIFS(A$2:A$247,A41,C$2:C$247,C41)&gt;1,"DUPLICATE - REVIEW","OK")</f>
        <v>OK</v>
      </c>
      <c r="I41" s="6" t="str">
        <f aca="false">IF(D41&lt;&gt;"Regular","Off-Cycle - See Register",IF(H41="DUPLICATE - REVIEW","Duplicate Payment",IF(ABS(G41)&gt;0.01,"Gross Pay Discrepancy","Clear")))</f>
        <v>Clear</v>
      </c>
    </row>
    <row r="42" customFormat="false" ht="15" hidden="false" customHeight="false" outlineLevel="0" collapsed="false">
      <c r="A42" s="6" t="str">
        <f aca="false">'Payroll Register'!A42</f>
        <v>E1039</v>
      </c>
      <c r="B42" s="6" t="str">
        <f aca="false">'Payroll Register'!B42</f>
        <v>Employee 040</v>
      </c>
      <c r="C42" s="6" t="str">
        <f aca="false">'Payroll Register'!D42</f>
        <v>2026-06-01 to 2026-06-07</v>
      </c>
      <c r="D42" s="6" t="str">
        <f aca="false">'Payroll Register'!E42</f>
        <v>Regular</v>
      </c>
      <c r="E42" s="7" t="n">
        <f aca="false">ROUND('Payroll Register'!F42*'Payroll Register'!G42,2)</f>
        <v>600.99</v>
      </c>
      <c r="F42" s="7" t="n">
        <f aca="false">'Payroll Register'!H42</f>
        <v>600.99</v>
      </c>
      <c r="G42" s="7" t="n">
        <f aca="false">ROUND(F42-E42,2)</f>
        <v>0</v>
      </c>
      <c r="H42" s="6" t="str">
        <f aca="false">IF(COUNTIFS(A$2:A$247,A42,C$2:C$247,C42)&gt;1,"DUPLICATE - REVIEW","OK")</f>
        <v>DUPLICATE - REVIEW</v>
      </c>
      <c r="I42" s="6" t="str">
        <f aca="false">IF(D42&lt;&gt;"Regular","Off-Cycle - See Register",IF(H42="DUPLICATE - REVIEW","Duplicate Payment",IF(ABS(G42)&gt;0.01,"Gross Pay Discrepancy","Clear")))</f>
        <v>Duplicate Payment</v>
      </c>
    </row>
    <row r="43" customFormat="false" ht="15" hidden="false" customHeight="false" outlineLevel="0" collapsed="false">
      <c r="A43" s="6" t="str">
        <f aca="false">'Payroll Register'!A43</f>
        <v>E1040</v>
      </c>
      <c r="B43" s="6" t="str">
        <f aca="false">'Payroll Register'!B43</f>
        <v>Employee 041</v>
      </c>
      <c r="C43" s="6" t="str">
        <f aca="false">'Payroll Register'!D43</f>
        <v>2026-06-01 to 2026-06-07</v>
      </c>
      <c r="D43" s="6" t="str">
        <f aca="false">'Payroll Register'!E43</f>
        <v>Regular</v>
      </c>
      <c r="E43" s="7" t="n">
        <f aca="false">ROUND('Payroll Register'!F43*'Payroll Register'!G43,2)</f>
        <v>569.1</v>
      </c>
      <c r="F43" s="7" t="n">
        <f aca="false">'Payroll Register'!H43</f>
        <v>569.1</v>
      </c>
      <c r="G43" s="7" t="n">
        <f aca="false">ROUND(F43-E43,2)</f>
        <v>0</v>
      </c>
      <c r="H43" s="6" t="str">
        <f aca="false">IF(COUNTIFS(A$2:A$247,A43,C$2:C$247,C43)&gt;1,"DUPLICATE - REVIEW","OK")</f>
        <v>OK</v>
      </c>
      <c r="I43" s="6" t="str">
        <f aca="false">IF(D43&lt;&gt;"Regular","Off-Cycle - See Register",IF(H43="DUPLICATE - REVIEW","Duplicate Payment",IF(ABS(G43)&gt;0.01,"Gross Pay Discrepancy","Clear")))</f>
        <v>Clear</v>
      </c>
    </row>
    <row r="44" customFormat="false" ht="15" hidden="false" customHeight="false" outlineLevel="0" collapsed="false">
      <c r="A44" s="6" t="str">
        <f aca="false">'Payroll Register'!A44</f>
        <v>E1041</v>
      </c>
      <c r="B44" s="6" t="str">
        <f aca="false">'Payroll Register'!B44</f>
        <v>Employee 042</v>
      </c>
      <c r="C44" s="6" t="str">
        <f aca="false">'Payroll Register'!D44</f>
        <v>2026-06-01 to 2026-06-07</v>
      </c>
      <c r="D44" s="6" t="str">
        <f aca="false">'Payroll Register'!E44</f>
        <v>Regular</v>
      </c>
      <c r="E44" s="7" t="n">
        <f aca="false">ROUND('Payroll Register'!F44*'Payroll Register'!G44,2)</f>
        <v>549.19</v>
      </c>
      <c r="F44" s="7" t="n">
        <f aca="false">'Payroll Register'!H44</f>
        <v>549.19</v>
      </c>
      <c r="G44" s="7" t="n">
        <f aca="false">ROUND(F44-E44,2)</f>
        <v>0</v>
      </c>
      <c r="H44" s="6" t="str">
        <f aca="false">IF(COUNTIFS(A$2:A$247,A44,C$2:C$247,C44)&gt;1,"DUPLICATE - REVIEW","OK")</f>
        <v>OK</v>
      </c>
      <c r="I44" s="6" t="str">
        <f aca="false">IF(D44&lt;&gt;"Regular","Off-Cycle - See Register",IF(H44="DUPLICATE - REVIEW","Duplicate Payment",IF(ABS(G44)&gt;0.01,"Gross Pay Discrepancy","Clear")))</f>
        <v>Clear</v>
      </c>
    </row>
    <row r="45" customFormat="false" ht="15" hidden="false" customHeight="false" outlineLevel="0" collapsed="false">
      <c r="A45" s="6" t="str">
        <f aca="false">'Payroll Register'!A45</f>
        <v>E1042</v>
      </c>
      <c r="B45" s="6" t="str">
        <f aca="false">'Payroll Register'!B45</f>
        <v>Employee 043</v>
      </c>
      <c r="C45" s="6" t="str">
        <f aca="false">'Payroll Register'!D45</f>
        <v>2026-06-01 to 2026-06-07</v>
      </c>
      <c r="D45" s="6" t="str">
        <f aca="false">'Payroll Register'!E45</f>
        <v>Regular</v>
      </c>
      <c r="E45" s="7" t="n">
        <f aca="false">ROUND('Payroll Register'!F45*'Payroll Register'!G45,2)</f>
        <v>532.91</v>
      </c>
      <c r="F45" s="7" t="n">
        <f aca="false">'Payroll Register'!H45</f>
        <v>532.91</v>
      </c>
      <c r="G45" s="7" t="n">
        <f aca="false">ROUND(F45-E45,2)</f>
        <v>0</v>
      </c>
      <c r="H45" s="6" t="str">
        <f aca="false">IF(COUNTIFS(A$2:A$247,A45,C$2:C$247,C45)&gt;1,"DUPLICATE - REVIEW","OK")</f>
        <v>OK</v>
      </c>
      <c r="I45" s="6" t="str">
        <f aca="false">IF(D45&lt;&gt;"Regular","Off-Cycle - See Register",IF(H45="DUPLICATE - REVIEW","Duplicate Payment",IF(ABS(G45)&gt;0.01,"Gross Pay Discrepancy","Clear")))</f>
        <v>Clear</v>
      </c>
    </row>
    <row r="46" customFormat="false" ht="15" hidden="false" customHeight="false" outlineLevel="0" collapsed="false">
      <c r="A46" s="6" t="str">
        <f aca="false">'Payroll Register'!A46</f>
        <v>E1043</v>
      </c>
      <c r="B46" s="6" t="str">
        <f aca="false">'Payroll Register'!B46</f>
        <v>Employee 044</v>
      </c>
      <c r="C46" s="6" t="str">
        <f aca="false">'Payroll Register'!D46</f>
        <v>2026-06-01 to 2026-06-07</v>
      </c>
      <c r="D46" s="6" t="str">
        <f aca="false">'Payroll Register'!E46</f>
        <v>Regular</v>
      </c>
      <c r="E46" s="7" t="n">
        <f aca="false">ROUND('Payroll Register'!F46*'Payroll Register'!G46,2)</f>
        <v>450.77</v>
      </c>
      <c r="F46" s="7" t="n">
        <f aca="false">'Payroll Register'!H46</f>
        <v>450.77</v>
      </c>
      <c r="G46" s="7" t="n">
        <f aca="false">ROUND(F46-E46,2)</f>
        <v>0</v>
      </c>
      <c r="H46" s="6" t="str">
        <f aca="false">IF(COUNTIFS(A$2:A$247,A46,C$2:C$247,C46)&gt;1,"DUPLICATE - REVIEW","OK")</f>
        <v>OK</v>
      </c>
      <c r="I46" s="6" t="str">
        <f aca="false">IF(D46&lt;&gt;"Regular","Off-Cycle - See Register",IF(H46="DUPLICATE - REVIEW","Duplicate Payment",IF(ABS(G46)&gt;0.01,"Gross Pay Discrepancy","Clear")))</f>
        <v>Clear</v>
      </c>
    </row>
    <row r="47" customFormat="false" ht="15" hidden="false" customHeight="false" outlineLevel="0" collapsed="false">
      <c r="A47" s="6" t="str">
        <f aca="false">'Payroll Register'!A47</f>
        <v>E1039</v>
      </c>
      <c r="B47" s="6" t="str">
        <f aca="false">'Payroll Register'!B47</f>
        <v>Employee 040</v>
      </c>
      <c r="C47" s="6" t="str">
        <f aca="false">'Payroll Register'!D47</f>
        <v>2026-06-01 to 2026-06-07</v>
      </c>
      <c r="D47" s="6" t="str">
        <f aca="false">'Payroll Register'!E47</f>
        <v>Regular</v>
      </c>
      <c r="E47" s="7" t="n">
        <f aca="false">ROUND('Payroll Register'!F47*'Payroll Register'!G47,2)</f>
        <v>600.99</v>
      </c>
      <c r="F47" s="7" t="n">
        <f aca="false">'Payroll Register'!H47</f>
        <v>600.99</v>
      </c>
      <c r="G47" s="7" t="n">
        <f aca="false">ROUND(F47-E47,2)</f>
        <v>0</v>
      </c>
      <c r="H47" s="6" t="str">
        <f aca="false">IF(COUNTIFS(A$2:A$247,A47,C$2:C$247,C47)&gt;1,"DUPLICATE - REVIEW","OK")</f>
        <v>DUPLICATE - REVIEW</v>
      </c>
      <c r="I47" s="6" t="str">
        <f aca="false">IF(D47&lt;&gt;"Regular","Off-Cycle - See Register",IF(H47="DUPLICATE - REVIEW","Duplicate Payment",IF(ABS(G47)&gt;0.01,"Gross Pay Discrepancy","Clear")))</f>
        <v>Duplicate Payment</v>
      </c>
    </row>
    <row r="48" customFormat="false" ht="15" hidden="false" customHeight="false" outlineLevel="0" collapsed="false">
      <c r="A48" s="6" t="str">
        <f aca="false">'Payroll Register'!A48</f>
        <v>E1044</v>
      </c>
      <c r="B48" s="6" t="str">
        <f aca="false">'Payroll Register'!B48</f>
        <v>Employee 045</v>
      </c>
      <c r="C48" s="6" t="str">
        <f aca="false">'Payroll Register'!D48</f>
        <v>2026-06-01 to 2026-06-07</v>
      </c>
      <c r="D48" s="6" t="str">
        <f aca="false">'Payroll Register'!E48</f>
        <v>Regular</v>
      </c>
      <c r="E48" s="7" t="n">
        <f aca="false">ROUND('Payroll Register'!F48*'Payroll Register'!G48,2)</f>
        <v>799.71</v>
      </c>
      <c r="F48" s="7" t="n">
        <f aca="false">'Payroll Register'!H48</f>
        <v>799.71</v>
      </c>
      <c r="G48" s="7" t="n">
        <f aca="false">ROUND(F48-E48,2)</f>
        <v>0</v>
      </c>
      <c r="H48" s="6" t="str">
        <f aca="false">IF(COUNTIFS(A$2:A$247,A48,C$2:C$247,C48)&gt;1,"DUPLICATE - REVIEW","OK")</f>
        <v>OK</v>
      </c>
      <c r="I48" s="6" t="str">
        <f aca="false">IF(D48&lt;&gt;"Regular","Off-Cycle - See Register",IF(H48="DUPLICATE - REVIEW","Duplicate Payment",IF(ABS(G48)&gt;0.01,"Gross Pay Discrepancy","Clear")))</f>
        <v>Clear</v>
      </c>
    </row>
    <row r="49" customFormat="false" ht="15" hidden="false" customHeight="false" outlineLevel="0" collapsed="false">
      <c r="A49" s="6" t="str">
        <f aca="false">'Payroll Register'!A49</f>
        <v>E1045</v>
      </c>
      <c r="B49" s="6" t="str">
        <f aca="false">'Payroll Register'!B49</f>
        <v>Employee 046</v>
      </c>
      <c r="C49" s="6" t="str">
        <f aca="false">'Payroll Register'!D49</f>
        <v>2026-06-01 to 2026-06-07</v>
      </c>
      <c r="D49" s="6" t="str">
        <f aca="false">'Payroll Register'!E49</f>
        <v>Regular</v>
      </c>
      <c r="E49" s="7" t="n">
        <f aca="false">ROUND('Payroll Register'!F49*'Payroll Register'!G49,2)</f>
        <v>683.01</v>
      </c>
      <c r="F49" s="7" t="n">
        <f aca="false">'Payroll Register'!H49</f>
        <v>683.01</v>
      </c>
      <c r="G49" s="7" t="n">
        <f aca="false">ROUND(F49-E49,2)</f>
        <v>0</v>
      </c>
      <c r="H49" s="6" t="str">
        <f aca="false">IF(COUNTIFS(A$2:A$247,A49,C$2:C$247,C49)&gt;1,"DUPLICATE - REVIEW","OK")</f>
        <v>OK</v>
      </c>
      <c r="I49" s="6" t="str">
        <f aca="false">IF(D49&lt;&gt;"Regular","Off-Cycle - See Register",IF(H49="DUPLICATE - REVIEW","Duplicate Payment",IF(ABS(G49)&gt;0.01,"Gross Pay Discrepancy","Clear")))</f>
        <v>Clear</v>
      </c>
    </row>
    <row r="50" customFormat="false" ht="15" hidden="false" customHeight="false" outlineLevel="0" collapsed="false">
      <c r="A50" s="6" t="str">
        <f aca="false">'Payroll Register'!A50</f>
        <v>E1046</v>
      </c>
      <c r="B50" s="6" t="str">
        <f aca="false">'Payroll Register'!B50</f>
        <v>Employee 047</v>
      </c>
      <c r="C50" s="6" t="str">
        <f aca="false">'Payroll Register'!D50</f>
        <v>2026-06-01 to 2026-06-07</v>
      </c>
      <c r="D50" s="6" t="str">
        <f aca="false">'Payroll Register'!E50</f>
        <v>Regular</v>
      </c>
      <c r="E50" s="7" t="n">
        <f aca="false">ROUND('Payroll Register'!F50*'Payroll Register'!G50,2)</f>
        <v>331.58</v>
      </c>
      <c r="F50" s="7" t="n">
        <f aca="false">'Payroll Register'!H50</f>
        <v>331.58</v>
      </c>
      <c r="G50" s="7" t="n">
        <f aca="false">ROUND(F50-E50,2)</f>
        <v>0</v>
      </c>
      <c r="H50" s="6" t="str">
        <f aca="false">IF(COUNTIFS(A$2:A$247,A50,C$2:C$247,C50)&gt;1,"DUPLICATE - REVIEW","OK")</f>
        <v>OK</v>
      </c>
      <c r="I50" s="6" t="str">
        <f aca="false">IF(D50&lt;&gt;"Regular","Off-Cycle - See Register",IF(H50="DUPLICATE - REVIEW","Duplicate Payment",IF(ABS(G50)&gt;0.01,"Gross Pay Discrepancy","Clear")))</f>
        <v>Clear</v>
      </c>
    </row>
    <row r="51" customFormat="false" ht="15" hidden="false" customHeight="false" outlineLevel="0" collapsed="false">
      <c r="A51" s="6" t="str">
        <f aca="false">'Payroll Register'!A51</f>
        <v>E1047</v>
      </c>
      <c r="B51" s="6" t="str">
        <f aca="false">'Payroll Register'!B51</f>
        <v>Employee 048</v>
      </c>
      <c r="C51" s="6" t="str">
        <f aca="false">'Payroll Register'!D51</f>
        <v>2026-06-01 to 2026-06-07</v>
      </c>
      <c r="D51" s="6" t="str">
        <f aca="false">'Payroll Register'!E51</f>
        <v>Regular</v>
      </c>
      <c r="E51" s="7" t="n">
        <f aca="false">ROUND('Payroll Register'!F51*'Payroll Register'!G51,2)</f>
        <v>314.33</v>
      </c>
      <c r="F51" s="7" t="n">
        <f aca="false">'Payroll Register'!H51</f>
        <v>314.33</v>
      </c>
      <c r="G51" s="7" t="n">
        <f aca="false">ROUND(F51-E51,2)</f>
        <v>0</v>
      </c>
      <c r="H51" s="6" t="str">
        <f aca="false">IF(COUNTIFS(A$2:A$247,A51,C$2:C$247,C51)&gt;1,"DUPLICATE - REVIEW","OK")</f>
        <v>OK</v>
      </c>
      <c r="I51" s="6" t="str">
        <f aca="false">IF(D51&lt;&gt;"Regular","Off-Cycle - See Register",IF(H51="DUPLICATE - REVIEW","Duplicate Payment",IF(ABS(G51)&gt;0.01,"Gross Pay Discrepancy","Clear")))</f>
        <v>Clear</v>
      </c>
    </row>
    <row r="52" customFormat="false" ht="15" hidden="false" customHeight="false" outlineLevel="0" collapsed="false">
      <c r="A52" s="6" t="str">
        <f aca="false">'Payroll Register'!A52</f>
        <v>E1048</v>
      </c>
      <c r="B52" s="6" t="str">
        <f aca="false">'Payroll Register'!B52</f>
        <v>Employee 049</v>
      </c>
      <c r="C52" s="6" t="str">
        <f aca="false">'Payroll Register'!D52</f>
        <v>2026-06-01 to 2026-06-07</v>
      </c>
      <c r="D52" s="6" t="str">
        <f aca="false">'Payroll Register'!E52</f>
        <v>Regular</v>
      </c>
      <c r="E52" s="7" t="n">
        <f aca="false">ROUND('Payroll Register'!F52*'Payroll Register'!G52,2)</f>
        <v>443.62</v>
      </c>
      <c r="F52" s="7" t="n">
        <f aca="false">'Payroll Register'!H52</f>
        <v>443.62</v>
      </c>
      <c r="G52" s="7" t="n">
        <f aca="false">ROUND(F52-E52,2)</f>
        <v>0</v>
      </c>
      <c r="H52" s="6" t="str">
        <f aca="false">IF(COUNTIFS(A$2:A$247,A52,C$2:C$247,C52)&gt;1,"DUPLICATE - REVIEW","OK")</f>
        <v>OK</v>
      </c>
      <c r="I52" s="6" t="str">
        <f aca="false">IF(D52&lt;&gt;"Regular","Off-Cycle - See Register",IF(H52="DUPLICATE - REVIEW","Duplicate Payment",IF(ABS(G52)&gt;0.01,"Gross Pay Discrepancy","Clear")))</f>
        <v>Clear</v>
      </c>
    </row>
    <row r="53" customFormat="false" ht="15" hidden="false" customHeight="false" outlineLevel="0" collapsed="false">
      <c r="A53" s="6" t="str">
        <f aca="false">'Payroll Register'!A53</f>
        <v>E1049</v>
      </c>
      <c r="B53" s="6" t="str">
        <f aca="false">'Payroll Register'!B53</f>
        <v>Employee 050</v>
      </c>
      <c r="C53" s="6" t="str">
        <f aca="false">'Payroll Register'!D53</f>
        <v>2026-06-01 to 2026-06-07</v>
      </c>
      <c r="D53" s="6" t="str">
        <f aca="false">'Payroll Register'!E53</f>
        <v>Regular</v>
      </c>
      <c r="E53" s="7" t="n">
        <f aca="false">ROUND('Payroll Register'!F53*'Payroll Register'!G53,2)</f>
        <v>1047.24</v>
      </c>
      <c r="F53" s="7" t="n">
        <f aca="false">'Payroll Register'!H53</f>
        <v>1047.24</v>
      </c>
      <c r="G53" s="7" t="n">
        <f aca="false">ROUND(F53-E53,2)</f>
        <v>0</v>
      </c>
      <c r="H53" s="6" t="str">
        <f aca="false">IF(COUNTIFS(A$2:A$247,A53,C$2:C$247,C53)&gt;1,"DUPLICATE - REVIEW","OK")</f>
        <v>OK</v>
      </c>
      <c r="I53" s="6" t="str">
        <f aca="false">IF(D53&lt;&gt;"Regular","Off-Cycle - See Register",IF(H53="DUPLICATE - REVIEW","Duplicate Payment",IF(ABS(G53)&gt;0.01,"Gross Pay Discrepancy","Clear")))</f>
        <v>Clear</v>
      </c>
    </row>
    <row r="54" customFormat="false" ht="15" hidden="false" customHeight="false" outlineLevel="0" collapsed="false">
      <c r="A54" s="6" t="str">
        <f aca="false">'Payroll Register'!A54</f>
        <v>E1050</v>
      </c>
      <c r="B54" s="6" t="str">
        <f aca="false">'Payroll Register'!B54</f>
        <v>Employee 051</v>
      </c>
      <c r="C54" s="6" t="str">
        <f aca="false">'Payroll Register'!D54</f>
        <v>2026-06-01 to 2026-06-07</v>
      </c>
      <c r="D54" s="6" t="str">
        <f aca="false">'Payroll Register'!E54</f>
        <v>Regular</v>
      </c>
      <c r="E54" s="7" t="n">
        <f aca="false">ROUND('Payroll Register'!F54*'Payroll Register'!G54,2)</f>
        <v>722.06</v>
      </c>
      <c r="F54" s="7" t="n">
        <f aca="false">'Payroll Register'!H54</f>
        <v>722.06</v>
      </c>
      <c r="G54" s="7" t="n">
        <f aca="false">ROUND(F54-E54,2)</f>
        <v>0</v>
      </c>
      <c r="H54" s="6" t="str">
        <f aca="false">IF(COUNTIFS(A$2:A$247,A54,C$2:C$247,C54)&gt;1,"DUPLICATE - REVIEW","OK")</f>
        <v>OK</v>
      </c>
      <c r="I54" s="6" t="str">
        <f aca="false">IF(D54&lt;&gt;"Regular","Off-Cycle - See Register",IF(H54="DUPLICATE - REVIEW","Duplicate Payment",IF(ABS(G54)&gt;0.01,"Gross Pay Discrepancy","Clear")))</f>
        <v>Clear</v>
      </c>
    </row>
    <row r="55" customFormat="false" ht="15" hidden="false" customHeight="false" outlineLevel="0" collapsed="false">
      <c r="A55" s="6" t="str">
        <f aca="false">'Payroll Register'!A55</f>
        <v>E1051</v>
      </c>
      <c r="B55" s="6" t="str">
        <f aca="false">'Payroll Register'!B55</f>
        <v>Employee 052</v>
      </c>
      <c r="C55" s="6" t="str">
        <f aca="false">'Payroll Register'!D55</f>
        <v>2026-06-01 to 2026-06-07</v>
      </c>
      <c r="D55" s="6" t="str">
        <f aca="false">'Payroll Register'!E55</f>
        <v>Regular</v>
      </c>
      <c r="E55" s="7" t="n">
        <f aca="false">ROUND('Payroll Register'!F55*'Payroll Register'!G55,2)</f>
        <v>254.4</v>
      </c>
      <c r="F55" s="7" t="n">
        <f aca="false">'Payroll Register'!H55</f>
        <v>254.4</v>
      </c>
      <c r="G55" s="7" t="n">
        <f aca="false">ROUND(F55-E55,2)</f>
        <v>0</v>
      </c>
      <c r="H55" s="6" t="str">
        <f aca="false">IF(COUNTIFS(A$2:A$247,A55,C$2:C$247,C55)&gt;1,"DUPLICATE - REVIEW","OK")</f>
        <v>OK</v>
      </c>
      <c r="I55" s="6" t="str">
        <f aca="false">IF(D55&lt;&gt;"Regular","Off-Cycle - See Register",IF(H55="DUPLICATE - REVIEW","Duplicate Payment",IF(ABS(G55)&gt;0.01,"Gross Pay Discrepancy","Clear")))</f>
        <v>Clear</v>
      </c>
    </row>
    <row r="56" customFormat="false" ht="15" hidden="false" customHeight="false" outlineLevel="0" collapsed="false">
      <c r="A56" s="6" t="str">
        <f aca="false">'Payroll Register'!A56</f>
        <v>E1052</v>
      </c>
      <c r="B56" s="6" t="str">
        <f aca="false">'Payroll Register'!B56</f>
        <v>Employee 053</v>
      </c>
      <c r="C56" s="6" t="str">
        <f aca="false">'Payroll Register'!D56</f>
        <v>2026-06-01 to 2026-06-07</v>
      </c>
      <c r="D56" s="6" t="str">
        <f aca="false">'Payroll Register'!E56</f>
        <v>Regular</v>
      </c>
      <c r="E56" s="7" t="n">
        <f aca="false">ROUND('Payroll Register'!F56*'Payroll Register'!G56,2)</f>
        <v>932.15</v>
      </c>
      <c r="F56" s="7" t="n">
        <f aca="false">'Payroll Register'!H56</f>
        <v>932.15</v>
      </c>
      <c r="G56" s="7" t="n">
        <f aca="false">ROUND(F56-E56,2)</f>
        <v>0</v>
      </c>
      <c r="H56" s="6" t="str">
        <f aca="false">IF(COUNTIFS(A$2:A$247,A56,C$2:C$247,C56)&gt;1,"DUPLICATE - REVIEW","OK")</f>
        <v>OK</v>
      </c>
      <c r="I56" s="6" t="str">
        <f aca="false">IF(D56&lt;&gt;"Regular","Off-Cycle - See Register",IF(H56="DUPLICATE - REVIEW","Duplicate Payment",IF(ABS(G56)&gt;0.01,"Gross Pay Discrepancy","Clear")))</f>
        <v>Clear</v>
      </c>
    </row>
    <row r="57" customFormat="false" ht="15" hidden="false" customHeight="false" outlineLevel="0" collapsed="false">
      <c r="A57" s="6" t="str">
        <f aca="false">'Payroll Register'!A57</f>
        <v>E1053</v>
      </c>
      <c r="B57" s="6" t="str">
        <f aca="false">'Payroll Register'!B57</f>
        <v>Employee 054</v>
      </c>
      <c r="C57" s="6" t="str">
        <f aca="false">'Payroll Register'!D57</f>
        <v>2026-06-01 to 2026-06-07</v>
      </c>
      <c r="D57" s="6" t="str">
        <f aca="false">'Payroll Register'!E57</f>
        <v>Regular</v>
      </c>
      <c r="E57" s="7" t="n">
        <f aca="false">ROUND('Payroll Register'!F57*'Payroll Register'!G57,2)</f>
        <v>645.24</v>
      </c>
      <c r="F57" s="7" t="n">
        <f aca="false">'Payroll Register'!H57</f>
        <v>645.24</v>
      </c>
      <c r="G57" s="7" t="n">
        <f aca="false">ROUND(F57-E57,2)</f>
        <v>0</v>
      </c>
      <c r="H57" s="6" t="str">
        <f aca="false">IF(COUNTIFS(A$2:A$247,A57,C$2:C$247,C57)&gt;1,"DUPLICATE - REVIEW","OK")</f>
        <v>OK</v>
      </c>
      <c r="I57" s="6" t="str">
        <f aca="false">IF(D57&lt;&gt;"Regular","Off-Cycle - See Register",IF(H57="DUPLICATE - REVIEW","Duplicate Payment",IF(ABS(G57)&gt;0.01,"Gross Pay Discrepancy","Clear")))</f>
        <v>Clear</v>
      </c>
    </row>
    <row r="58" customFormat="false" ht="15" hidden="false" customHeight="false" outlineLevel="0" collapsed="false">
      <c r="A58" s="6" t="str">
        <f aca="false">'Payroll Register'!A58</f>
        <v>E1054</v>
      </c>
      <c r="B58" s="6" t="str">
        <f aca="false">'Payroll Register'!B58</f>
        <v>Employee 055</v>
      </c>
      <c r="C58" s="6" t="str">
        <f aca="false">'Payroll Register'!D58</f>
        <v>2026-06-01 to 2026-06-07</v>
      </c>
      <c r="D58" s="6" t="str">
        <f aca="false">'Payroll Register'!E58</f>
        <v>Regular</v>
      </c>
      <c r="E58" s="7" t="n">
        <f aca="false">ROUND('Payroll Register'!F58*'Payroll Register'!G58,2)</f>
        <v>738.38</v>
      </c>
      <c r="F58" s="7" t="n">
        <f aca="false">'Payroll Register'!H58</f>
        <v>738.38</v>
      </c>
      <c r="G58" s="7" t="n">
        <f aca="false">ROUND(F58-E58,2)</f>
        <v>0</v>
      </c>
      <c r="H58" s="6" t="str">
        <f aca="false">IF(COUNTIFS(A$2:A$247,A58,C$2:C$247,C58)&gt;1,"DUPLICATE - REVIEW","OK")</f>
        <v>OK</v>
      </c>
      <c r="I58" s="6" t="str">
        <f aca="false">IF(D58&lt;&gt;"Regular","Off-Cycle - See Register",IF(H58="DUPLICATE - REVIEW","Duplicate Payment",IF(ABS(G58)&gt;0.01,"Gross Pay Discrepancy","Clear")))</f>
        <v>Clear</v>
      </c>
    </row>
    <row r="59" customFormat="false" ht="15" hidden="false" customHeight="false" outlineLevel="0" collapsed="false">
      <c r="A59" s="6" t="str">
        <f aca="false">'Payroll Register'!A59</f>
        <v>E1055</v>
      </c>
      <c r="B59" s="6" t="str">
        <f aca="false">'Payroll Register'!B59</f>
        <v>Employee 056</v>
      </c>
      <c r="C59" s="6" t="str">
        <f aca="false">'Payroll Register'!D59</f>
        <v>2026-06-01 to 2026-06-07</v>
      </c>
      <c r="D59" s="6" t="str">
        <f aca="false">'Payroll Register'!E59</f>
        <v>Regular</v>
      </c>
      <c r="E59" s="7" t="n">
        <f aca="false">ROUND('Payroll Register'!F59*'Payroll Register'!G59,2)</f>
        <v>735.59</v>
      </c>
      <c r="F59" s="7" t="n">
        <f aca="false">'Payroll Register'!H59</f>
        <v>735.59</v>
      </c>
      <c r="G59" s="7" t="n">
        <f aca="false">ROUND(F59-E59,2)</f>
        <v>0</v>
      </c>
      <c r="H59" s="6" t="str">
        <f aca="false">IF(COUNTIFS(A$2:A$247,A59,C$2:C$247,C59)&gt;1,"DUPLICATE - REVIEW","OK")</f>
        <v>OK</v>
      </c>
      <c r="I59" s="6" t="str">
        <f aca="false">IF(D59&lt;&gt;"Regular","Off-Cycle - See Register",IF(H59="DUPLICATE - REVIEW","Duplicate Payment",IF(ABS(G59)&gt;0.01,"Gross Pay Discrepancy","Clear")))</f>
        <v>Clear</v>
      </c>
    </row>
    <row r="60" customFormat="false" ht="15" hidden="false" customHeight="false" outlineLevel="0" collapsed="false">
      <c r="A60" s="6" t="str">
        <f aca="false">'Payroll Register'!A60</f>
        <v>E1056</v>
      </c>
      <c r="B60" s="6" t="str">
        <f aca="false">'Payroll Register'!B60</f>
        <v>Employee 057</v>
      </c>
      <c r="C60" s="6" t="str">
        <f aca="false">'Payroll Register'!D60</f>
        <v>2026-06-01 to 2026-06-07</v>
      </c>
      <c r="D60" s="6" t="str">
        <f aca="false">'Payroll Register'!E60</f>
        <v>Regular</v>
      </c>
      <c r="E60" s="7" t="n">
        <f aca="false">ROUND('Payroll Register'!F60*'Payroll Register'!G60,2)</f>
        <v>808.05</v>
      </c>
      <c r="F60" s="7" t="n">
        <f aca="false">'Payroll Register'!H60</f>
        <v>808.05</v>
      </c>
      <c r="G60" s="7" t="n">
        <f aca="false">ROUND(F60-E60,2)</f>
        <v>0</v>
      </c>
      <c r="H60" s="6" t="str">
        <f aca="false">IF(COUNTIFS(A$2:A$247,A60,C$2:C$247,C60)&gt;1,"DUPLICATE - REVIEW","OK")</f>
        <v>OK</v>
      </c>
      <c r="I60" s="6" t="str">
        <f aca="false">IF(D60&lt;&gt;"Regular","Off-Cycle - See Register",IF(H60="DUPLICATE - REVIEW","Duplicate Payment",IF(ABS(G60)&gt;0.01,"Gross Pay Discrepancy","Clear")))</f>
        <v>Clear</v>
      </c>
    </row>
    <row r="61" customFormat="false" ht="15" hidden="false" customHeight="false" outlineLevel="0" collapsed="false">
      <c r="A61" s="6" t="str">
        <f aca="false">'Payroll Register'!A61</f>
        <v>E1057</v>
      </c>
      <c r="B61" s="6" t="str">
        <f aca="false">'Payroll Register'!B61</f>
        <v>Employee 058</v>
      </c>
      <c r="C61" s="6" t="str">
        <f aca="false">'Payroll Register'!D61</f>
        <v>2026-06-01 to 2026-06-07</v>
      </c>
      <c r="D61" s="6" t="str">
        <f aca="false">'Payroll Register'!E61</f>
        <v>Regular</v>
      </c>
      <c r="E61" s="7" t="n">
        <f aca="false">ROUND('Payroll Register'!F61*'Payroll Register'!G61,2)</f>
        <v>675.23</v>
      </c>
      <c r="F61" s="7" t="n">
        <f aca="false">'Payroll Register'!H61</f>
        <v>675.23</v>
      </c>
      <c r="G61" s="7" t="n">
        <f aca="false">ROUND(F61-E61,2)</f>
        <v>0</v>
      </c>
      <c r="H61" s="6" t="str">
        <f aca="false">IF(COUNTIFS(A$2:A$247,A61,C$2:C$247,C61)&gt;1,"DUPLICATE - REVIEW","OK")</f>
        <v>OK</v>
      </c>
      <c r="I61" s="6" t="str">
        <f aca="false">IF(D61&lt;&gt;"Regular","Off-Cycle - See Register",IF(H61="DUPLICATE - REVIEW","Duplicate Payment",IF(ABS(G61)&gt;0.01,"Gross Pay Discrepancy","Clear")))</f>
        <v>Clear</v>
      </c>
    </row>
    <row r="62" customFormat="false" ht="15" hidden="false" customHeight="false" outlineLevel="0" collapsed="false">
      <c r="A62" s="6" t="str">
        <f aca="false">'Payroll Register'!A62</f>
        <v>E1058</v>
      </c>
      <c r="B62" s="6" t="str">
        <f aca="false">'Payroll Register'!B62</f>
        <v>Employee 059</v>
      </c>
      <c r="C62" s="6" t="str">
        <f aca="false">'Payroll Register'!D62</f>
        <v>2026-06-01 to 2026-06-07</v>
      </c>
      <c r="D62" s="6" t="str">
        <f aca="false">'Payroll Register'!E62</f>
        <v>Regular</v>
      </c>
      <c r="E62" s="7" t="n">
        <f aca="false">ROUND('Payroll Register'!F62*'Payroll Register'!G62,2)</f>
        <v>986.24</v>
      </c>
      <c r="F62" s="7" t="n">
        <f aca="false">'Payroll Register'!H62</f>
        <v>986.24</v>
      </c>
      <c r="G62" s="7" t="n">
        <f aca="false">ROUND(F62-E62,2)</f>
        <v>0</v>
      </c>
      <c r="H62" s="6" t="str">
        <f aca="false">IF(COUNTIFS(A$2:A$247,A62,C$2:C$247,C62)&gt;1,"DUPLICATE - REVIEW","OK")</f>
        <v>OK</v>
      </c>
      <c r="I62" s="6" t="str">
        <f aca="false">IF(D62&lt;&gt;"Regular","Off-Cycle - See Register",IF(H62="DUPLICATE - REVIEW","Duplicate Payment",IF(ABS(G62)&gt;0.01,"Gross Pay Discrepancy","Clear")))</f>
        <v>Clear</v>
      </c>
    </row>
    <row r="63" customFormat="false" ht="15" hidden="false" customHeight="false" outlineLevel="0" collapsed="false">
      <c r="A63" s="6" t="str">
        <f aca="false">'Payroll Register'!A63</f>
        <v>E1059</v>
      </c>
      <c r="B63" s="6" t="str">
        <f aca="false">'Payroll Register'!B63</f>
        <v>Employee 060</v>
      </c>
      <c r="C63" s="6" t="str">
        <f aca="false">'Payroll Register'!D63</f>
        <v>2026-06-01 to 2026-06-07</v>
      </c>
      <c r="D63" s="6" t="str">
        <f aca="false">'Payroll Register'!E63</f>
        <v>Regular</v>
      </c>
      <c r="E63" s="7" t="n">
        <f aca="false">ROUND('Payroll Register'!F63*'Payroll Register'!G63,2)</f>
        <v>924.61</v>
      </c>
      <c r="F63" s="7" t="n">
        <f aca="false">'Payroll Register'!H63</f>
        <v>924.61</v>
      </c>
      <c r="G63" s="7" t="n">
        <f aca="false">ROUND(F63-E63,2)</f>
        <v>0</v>
      </c>
      <c r="H63" s="6" t="str">
        <f aca="false">IF(COUNTIFS(A$2:A$247,A63,C$2:C$247,C63)&gt;1,"DUPLICATE - REVIEW","OK")</f>
        <v>OK</v>
      </c>
      <c r="I63" s="6" t="str">
        <f aca="false">IF(D63&lt;&gt;"Regular","Off-Cycle - See Register",IF(H63="DUPLICATE - REVIEW","Duplicate Payment",IF(ABS(G63)&gt;0.01,"Gross Pay Discrepancy","Clear")))</f>
        <v>Clear</v>
      </c>
    </row>
    <row r="64" customFormat="false" ht="15" hidden="false" customHeight="false" outlineLevel="0" collapsed="false">
      <c r="A64" s="6" t="str">
        <f aca="false">'Payroll Register'!A64</f>
        <v>E1000</v>
      </c>
      <c r="B64" s="6" t="str">
        <f aca="false">'Payroll Register'!B64</f>
        <v>Employee 001</v>
      </c>
      <c r="C64" s="6" t="str">
        <f aca="false">'Payroll Register'!D64</f>
        <v>2026-06-08 to 2026-06-14</v>
      </c>
      <c r="D64" s="6" t="str">
        <f aca="false">'Payroll Register'!E64</f>
        <v>Regular</v>
      </c>
      <c r="E64" s="7" t="n">
        <f aca="false">ROUND('Payroll Register'!F64*'Payroll Register'!G64,2)</f>
        <v>588.9</v>
      </c>
      <c r="F64" s="7" t="n">
        <f aca="false">'Payroll Register'!H64</f>
        <v>588.9</v>
      </c>
      <c r="G64" s="7" t="n">
        <f aca="false">ROUND(F64-E64,2)</f>
        <v>0</v>
      </c>
      <c r="H64" s="6" t="str">
        <f aca="false">IF(COUNTIFS(A$2:A$247,A64,C$2:C$247,C64)&gt;1,"DUPLICATE - REVIEW","OK")</f>
        <v>OK</v>
      </c>
      <c r="I64" s="6" t="str">
        <f aca="false">IF(D64&lt;&gt;"Regular","Off-Cycle - See Register",IF(H64="DUPLICATE - REVIEW","Duplicate Payment",IF(ABS(G64)&gt;0.01,"Gross Pay Discrepancy","Clear")))</f>
        <v>Clear</v>
      </c>
    </row>
    <row r="65" customFormat="false" ht="15" hidden="false" customHeight="false" outlineLevel="0" collapsed="false">
      <c r="A65" s="6" t="str">
        <f aca="false">'Payroll Register'!A65</f>
        <v>E1001</v>
      </c>
      <c r="B65" s="6" t="str">
        <f aca="false">'Payroll Register'!B65</f>
        <v>Employee 002</v>
      </c>
      <c r="C65" s="6" t="str">
        <f aca="false">'Payroll Register'!D65</f>
        <v>2026-06-08 to 2026-06-14</v>
      </c>
      <c r="D65" s="6" t="str">
        <f aca="false">'Payroll Register'!E65</f>
        <v>Regular</v>
      </c>
      <c r="E65" s="7" t="n">
        <f aca="false">ROUND('Payroll Register'!F65*'Payroll Register'!G65,2)</f>
        <v>427.35</v>
      </c>
      <c r="F65" s="7" t="n">
        <f aca="false">'Payroll Register'!H65</f>
        <v>427.35</v>
      </c>
      <c r="G65" s="7" t="n">
        <f aca="false">ROUND(F65-E65,2)</f>
        <v>0</v>
      </c>
      <c r="H65" s="6" t="str">
        <f aca="false">IF(COUNTIFS(A$2:A$247,A65,C$2:C$247,C65)&gt;1,"DUPLICATE - REVIEW","OK")</f>
        <v>OK</v>
      </c>
      <c r="I65" s="6" t="str">
        <f aca="false">IF(D65&lt;&gt;"Regular","Off-Cycle - See Register",IF(H65="DUPLICATE - REVIEW","Duplicate Payment",IF(ABS(G65)&gt;0.01,"Gross Pay Discrepancy","Clear")))</f>
        <v>Clear</v>
      </c>
    </row>
    <row r="66" customFormat="false" ht="15" hidden="false" customHeight="false" outlineLevel="0" collapsed="false">
      <c r="A66" s="6" t="str">
        <f aca="false">'Payroll Register'!A66</f>
        <v>E1002</v>
      </c>
      <c r="B66" s="6" t="str">
        <f aca="false">'Payroll Register'!B66</f>
        <v>Employee 003</v>
      </c>
      <c r="C66" s="6" t="str">
        <f aca="false">'Payroll Register'!D66</f>
        <v>2026-06-08 to 2026-06-14</v>
      </c>
      <c r="D66" s="6" t="str">
        <f aca="false">'Payroll Register'!E66</f>
        <v>Regular</v>
      </c>
      <c r="E66" s="7" t="n">
        <f aca="false">ROUND('Payroll Register'!F66*'Payroll Register'!G66,2)</f>
        <v>1039.81</v>
      </c>
      <c r="F66" s="7" t="n">
        <f aca="false">'Payroll Register'!H66</f>
        <v>1039.81</v>
      </c>
      <c r="G66" s="7" t="n">
        <f aca="false">ROUND(F66-E66,2)</f>
        <v>0</v>
      </c>
      <c r="H66" s="6" t="str">
        <f aca="false">IF(COUNTIFS(A$2:A$247,A66,C$2:C$247,C66)&gt;1,"DUPLICATE - REVIEW","OK")</f>
        <v>OK</v>
      </c>
      <c r="I66" s="6" t="str">
        <f aca="false">IF(D66&lt;&gt;"Regular","Off-Cycle - See Register",IF(H66="DUPLICATE - REVIEW","Duplicate Payment",IF(ABS(G66)&gt;0.01,"Gross Pay Discrepancy","Clear")))</f>
        <v>Clear</v>
      </c>
    </row>
    <row r="67" customFormat="false" ht="15" hidden="false" customHeight="false" outlineLevel="0" collapsed="false">
      <c r="A67" s="6" t="str">
        <f aca="false">'Payroll Register'!A67</f>
        <v>E1003</v>
      </c>
      <c r="B67" s="6" t="str">
        <f aca="false">'Payroll Register'!B67</f>
        <v>Employee 004</v>
      </c>
      <c r="C67" s="6" t="str">
        <f aca="false">'Payroll Register'!D67</f>
        <v>2026-06-08 to 2026-06-14</v>
      </c>
      <c r="D67" s="6" t="str">
        <f aca="false">'Payroll Register'!E67</f>
        <v>Regular</v>
      </c>
      <c r="E67" s="7" t="n">
        <f aca="false">ROUND('Payroll Register'!F67*'Payroll Register'!G67,2)</f>
        <v>659.82</v>
      </c>
      <c r="F67" s="7" t="n">
        <f aca="false">'Payroll Register'!H67</f>
        <v>659.82</v>
      </c>
      <c r="G67" s="7" t="n">
        <f aca="false">ROUND(F67-E67,2)</f>
        <v>0</v>
      </c>
      <c r="H67" s="6" t="str">
        <f aca="false">IF(COUNTIFS(A$2:A$247,A67,C$2:C$247,C67)&gt;1,"DUPLICATE - REVIEW","OK")</f>
        <v>OK</v>
      </c>
      <c r="I67" s="6" t="str">
        <f aca="false">IF(D67&lt;&gt;"Regular","Off-Cycle - See Register",IF(H67="DUPLICATE - REVIEW","Duplicate Payment",IF(ABS(G67)&gt;0.01,"Gross Pay Discrepancy","Clear")))</f>
        <v>Clear</v>
      </c>
    </row>
    <row r="68" customFormat="false" ht="15" hidden="false" customHeight="false" outlineLevel="0" collapsed="false">
      <c r="A68" s="6" t="str">
        <f aca="false">'Payroll Register'!A68</f>
        <v>E1004</v>
      </c>
      <c r="B68" s="6" t="str">
        <f aca="false">'Payroll Register'!B68</f>
        <v>Employee 005</v>
      </c>
      <c r="C68" s="6" t="str">
        <f aca="false">'Payroll Register'!D68</f>
        <v>2026-06-08 to 2026-06-14</v>
      </c>
      <c r="D68" s="6" t="str">
        <f aca="false">'Payroll Register'!E68</f>
        <v>Regular</v>
      </c>
      <c r="E68" s="7" t="n">
        <f aca="false">ROUND('Payroll Register'!F68*'Payroll Register'!G68,2)</f>
        <v>732.06</v>
      </c>
      <c r="F68" s="7" t="n">
        <f aca="false">'Payroll Register'!H68</f>
        <v>732.06</v>
      </c>
      <c r="G68" s="7" t="n">
        <f aca="false">ROUND(F68-E68,2)</f>
        <v>0</v>
      </c>
      <c r="H68" s="6" t="str">
        <f aca="false">IF(COUNTIFS(A$2:A$247,A68,C$2:C$247,C68)&gt;1,"DUPLICATE - REVIEW","OK")</f>
        <v>OK</v>
      </c>
      <c r="I68" s="6" t="str">
        <f aca="false">IF(D68&lt;&gt;"Regular","Off-Cycle - See Register",IF(H68="DUPLICATE - REVIEW","Duplicate Payment",IF(ABS(G68)&gt;0.01,"Gross Pay Discrepancy","Clear")))</f>
        <v>Clear</v>
      </c>
    </row>
    <row r="69" customFormat="false" ht="15" hidden="false" customHeight="false" outlineLevel="0" collapsed="false">
      <c r="A69" s="6" t="str">
        <f aca="false">'Payroll Register'!A69</f>
        <v>E1005</v>
      </c>
      <c r="B69" s="6" t="str">
        <f aca="false">'Payroll Register'!B69</f>
        <v>Employee 006</v>
      </c>
      <c r="C69" s="6" t="str">
        <f aca="false">'Payroll Register'!D69</f>
        <v>2026-06-08 to 2026-06-14</v>
      </c>
      <c r="D69" s="6" t="str">
        <f aca="false">'Payroll Register'!E69</f>
        <v>Regular</v>
      </c>
      <c r="E69" s="7" t="n">
        <f aca="false">ROUND('Payroll Register'!F69*'Payroll Register'!G69,2)</f>
        <v>436.8</v>
      </c>
      <c r="F69" s="7" t="n">
        <f aca="false">'Payroll Register'!H69</f>
        <v>436.8</v>
      </c>
      <c r="G69" s="7" t="n">
        <f aca="false">ROUND(F69-E69,2)</f>
        <v>0</v>
      </c>
      <c r="H69" s="6" t="str">
        <f aca="false">IF(COUNTIFS(A$2:A$247,A69,C$2:C$247,C69)&gt;1,"DUPLICATE - REVIEW","OK")</f>
        <v>DUPLICATE - REVIEW</v>
      </c>
      <c r="I69" s="6" t="str">
        <f aca="false">IF(D69&lt;&gt;"Regular","Off-Cycle - See Register",IF(H69="DUPLICATE - REVIEW","Duplicate Payment",IF(ABS(G69)&gt;0.01,"Gross Pay Discrepancy","Clear")))</f>
        <v>Duplicate Payment</v>
      </c>
    </row>
    <row r="70" customFormat="false" ht="15" hidden="false" customHeight="false" outlineLevel="0" collapsed="false">
      <c r="A70" s="6" t="str">
        <f aca="false">'Payroll Register'!A70</f>
        <v>E1006</v>
      </c>
      <c r="B70" s="6" t="str">
        <f aca="false">'Payroll Register'!B70</f>
        <v>Employee 007</v>
      </c>
      <c r="C70" s="6" t="str">
        <f aca="false">'Payroll Register'!D70</f>
        <v>2026-06-08 to 2026-06-14</v>
      </c>
      <c r="D70" s="6" t="str">
        <f aca="false">'Payroll Register'!E70</f>
        <v>Regular</v>
      </c>
      <c r="E70" s="7" t="n">
        <f aca="false">ROUND('Payroll Register'!F70*'Payroll Register'!G70,2)</f>
        <v>464.44</v>
      </c>
      <c r="F70" s="7" t="n">
        <f aca="false">'Payroll Register'!H70</f>
        <v>464.44</v>
      </c>
      <c r="G70" s="7" t="n">
        <f aca="false">ROUND(F70-E70,2)</f>
        <v>0</v>
      </c>
      <c r="H70" s="6" t="str">
        <f aca="false">IF(COUNTIFS(A$2:A$247,A70,C$2:C$247,C70)&gt;1,"DUPLICATE - REVIEW","OK")</f>
        <v>OK</v>
      </c>
      <c r="I70" s="6" t="str">
        <f aca="false">IF(D70&lt;&gt;"Regular","Off-Cycle - See Register",IF(H70="DUPLICATE - REVIEW","Duplicate Payment",IF(ABS(G70)&gt;0.01,"Gross Pay Discrepancy","Clear")))</f>
        <v>Clear</v>
      </c>
    </row>
    <row r="71" customFormat="false" ht="15" hidden="false" customHeight="false" outlineLevel="0" collapsed="false">
      <c r="A71" s="6" t="str">
        <f aca="false">'Payroll Register'!A71</f>
        <v>E1007</v>
      </c>
      <c r="B71" s="6" t="str">
        <f aca="false">'Payroll Register'!B71</f>
        <v>Employee 008</v>
      </c>
      <c r="C71" s="6" t="str">
        <f aca="false">'Payroll Register'!D71</f>
        <v>2026-06-08 to 2026-06-14</v>
      </c>
      <c r="D71" s="6" t="str">
        <f aca="false">'Payroll Register'!E71</f>
        <v>Regular</v>
      </c>
      <c r="E71" s="7" t="n">
        <f aca="false">ROUND('Payroll Register'!F71*'Payroll Register'!G71,2)</f>
        <v>653.81</v>
      </c>
      <c r="F71" s="7" t="n">
        <f aca="false">'Payroll Register'!H71</f>
        <v>653.81</v>
      </c>
      <c r="G71" s="7" t="n">
        <f aca="false">ROUND(F71-E71,2)</f>
        <v>0</v>
      </c>
      <c r="H71" s="6" t="str">
        <f aca="false">IF(COUNTIFS(A$2:A$247,A71,C$2:C$247,C71)&gt;1,"DUPLICATE - REVIEW","OK")</f>
        <v>OK</v>
      </c>
      <c r="I71" s="6" t="str">
        <f aca="false">IF(D71&lt;&gt;"Regular","Off-Cycle - See Register",IF(H71="DUPLICATE - REVIEW","Duplicate Payment",IF(ABS(G71)&gt;0.01,"Gross Pay Discrepancy","Clear")))</f>
        <v>Clear</v>
      </c>
    </row>
    <row r="72" customFormat="false" ht="15" hidden="false" customHeight="false" outlineLevel="0" collapsed="false">
      <c r="A72" s="6" t="str">
        <f aca="false">'Payroll Register'!A72</f>
        <v>E1008</v>
      </c>
      <c r="B72" s="6" t="str">
        <f aca="false">'Payroll Register'!B72</f>
        <v>Employee 009</v>
      </c>
      <c r="C72" s="6" t="str">
        <f aca="false">'Payroll Register'!D72</f>
        <v>2026-06-08 to 2026-06-14</v>
      </c>
      <c r="D72" s="6" t="str">
        <f aca="false">'Payroll Register'!E72</f>
        <v>Regular</v>
      </c>
      <c r="E72" s="7" t="n">
        <f aca="false">ROUND('Payroll Register'!F72*'Payroll Register'!G72,2)</f>
        <v>305.96</v>
      </c>
      <c r="F72" s="7" t="n">
        <f aca="false">'Payroll Register'!H72</f>
        <v>305.96</v>
      </c>
      <c r="G72" s="7" t="n">
        <f aca="false">ROUND(F72-E72,2)</f>
        <v>0</v>
      </c>
      <c r="H72" s="6" t="str">
        <f aca="false">IF(COUNTIFS(A$2:A$247,A72,C$2:C$247,C72)&gt;1,"DUPLICATE - REVIEW","OK")</f>
        <v>OK</v>
      </c>
      <c r="I72" s="6" t="str">
        <f aca="false">IF(D72&lt;&gt;"Regular","Off-Cycle - See Register",IF(H72="DUPLICATE - REVIEW","Duplicate Payment",IF(ABS(G72)&gt;0.01,"Gross Pay Discrepancy","Clear")))</f>
        <v>Clear</v>
      </c>
    </row>
    <row r="73" customFormat="false" ht="15" hidden="false" customHeight="false" outlineLevel="0" collapsed="false">
      <c r="A73" s="6" t="str">
        <f aca="false">'Payroll Register'!A73</f>
        <v>E1009</v>
      </c>
      <c r="B73" s="6" t="str">
        <f aca="false">'Payroll Register'!B73</f>
        <v>Employee 010</v>
      </c>
      <c r="C73" s="6" t="str">
        <f aca="false">'Payroll Register'!D73</f>
        <v>2026-06-08 to 2026-06-14</v>
      </c>
      <c r="D73" s="6" t="str">
        <f aca="false">'Payroll Register'!E73</f>
        <v>Regular</v>
      </c>
      <c r="E73" s="7" t="n">
        <f aca="false">ROUND('Payroll Register'!F73*'Payroll Register'!G73,2)</f>
        <v>511.45</v>
      </c>
      <c r="F73" s="7" t="n">
        <f aca="false">'Payroll Register'!H73</f>
        <v>511.45</v>
      </c>
      <c r="G73" s="7" t="n">
        <f aca="false">ROUND(F73-E73,2)</f>
        <v>0</v>
      </c>
      <c r="H73" s="6" t="str">
        <f aca="false">IF(COUNTIFS(A$2:A$247,A73,C$2:C$247,C73)&gt;1,"DUPLICATE - REVIEW","OK")</f>
        <v>OK</v>
      </c>
      <c r="I73" s="6" t="str">
        <f aca="false">IF(D73&lt;&gt;"Regular","Off-Cycle - See Register",IF(H73="DUPLICATE - REVIEW","Duplicate Payment",IF(ABS(G73)&gt;0.01,"Gross Pay Discrepancy","Clear")))</f>
        <v>Clear</v>
      </c>
    </row>
    <row r="74" customFormat="false" ht="15" hidden="false" customHeight="false" outlineLevel="0" collapsed="false">
      <c r="A74" s="6" t="str">
        <f aca="false">'Payroll Register'!A74</f>
        <v>E1010</v>
      </c>
      <c r="B74" s="6" t="str">
        <f aca="false">'Payroll Register'!B74</f>
        <v>Employee 011</v>
      </c>
      <c r="C74" s="6" t="str">
        <f aca="false">'Payroll Register'!D74</f>
        <v>2026-06-08 to 2026-06-14</v>
      </c>
      <c r="D74" s="6" t="str">
        <f aca="false">'Payroll Register'!E74</f>
        <v>Regular</v>
      </c>
      <c r="E74" s="7" t="n">
        <f aca="false">ROUND('Payroll Register'!F74*'Payroll Register'!G74,2)</f>
        <v>859.76</v>
      </c>
      <c r="F74" s="7" t="n">
        <f aca="false">'Payroll Register'!H74</f>
        <v>859.76</v>
      </c>
      <c r="G74" s="7" t="n">
        <f aca="false">ROUND(F74-E74,2)</f>
        <v>0</v>
      </c>
      <c r="H74" s="6" t="str">
        <f aca="false">IF(COUNTIFS(A$2:A$247,A74,C$2:C$247,C74)&gt;1,"DUPLICATE - REVIEW","OK")</f>
        <v>OK</v>
      </c>
      <c r="I74" s="6" t="str">
        <f aca="false">IF(D74&lt;&gt;"Regular","Off-Cycle - See Register",IF(H74="DUPLICATE - REVIEW","Duplicate Payment",IF(ABS(G74)&gt;0.01,"Gross Pay Discrepancy","Clear")))</f>
        <v>Clear</v>
      </c>
    </row>
    <row r="75" customFormat="false" ht="15" hidden="false" customHeight="false" outlineLevel="0" collapsed="false">
      <c r="A75" s="6" t="str">
        <f aca="false">'Payroll Register'!A75</f>
        <v>E1011</v>
      </c>
      <c r="B75" s="6" t="str">
        <f aca="false">'Payroll Register'!B75</f>
        <v>Employee 012</v>
      </c>
      <c r="C75" s="6" t="str">
        <f aca="false">'Payroll Register'!D75</f>
        <v>2026-06-08 to 2026-06-14</v>
      </c>
      <c r="D75" s="6" t="str">
        <f aca="false">'Payroll Register'!E75</f>
        <v>Regular</v>
      </c>
      <c r="E75" s="7" t="n">
        <f aca="false">ROUND('Payroll Register'!F75*'Payroll Register'!G75,2)</f>
        <v>651.81</v>
      </c>
      <c r="F75" s="7" t="n">
        <f aca="false">'Payroll Register'!H75</f>
        <v>651.81</v>
      </c>
      <c r="G75" s="7" t="n">
        <f aca="false">ROUND(F75-E75,2)</f>
        <v>0</v>
      </c>
      <c r="H75" s="6" t="str">
        <f aca="false">IF(COUNTIFS(A$2:A$247,A75,C$2:C$247,C75)&gt;1,"DUPLICATE - REVIEW","OK")</f>
        <v>OK</v>
      </c>
      <c r="I75" s="6" t="str">
        <f aca="false">IF(D75&lt;&gt;"Regular","Off-Cycle - See Register",IF(H75="DUPLICATE - REVIEW","Duplicate Payment",IF(ABS(G75)&gt;0.01,"Gross Pay Discrepancy","Clear")))</f>
        <v>Clear</v>
      </c>
    </row>
    <row r="76" customFormat="false" ht="15" hidden="false" customHeight="false" outlineLevel="0" collapsed="false">
      <c r="A76" s="6" t="str">
        <f aca="false">'Payroll Register'!A76</f>
        <v>E1012</v>
      </c>
      <c r="B76" s="6" t="str">
        <f aca="false">'Payroll Register'!B76</f>
        <v>Employee 013</v>
      </c>
      <c r="C76" s="6" t="str">
        <f aca="false">'Payroll Register'!D76</f>
        <v>2026-06-08 to 2026-06-14</v>
      </c>
      <c r="D76" s="6" t="str">
        <f aca="false">'Payroll Register'!E76</f>
        <v>Regular</v>
      </c>
      <c r="E76" s="7" t="n">
        <f aca="false">ROUND('Payroll Register'!F76*'Payroll Register'!G76,2)</f>
        <v>452.79</v>
      </c>
      <c r="F76" s="7" t="n">
        <f aca="false">'Payroll Register'!H76</f>
        <v>452.79</v>
      </c>
      <c r="G76" s="7" t="n">
        <f aca="false">ROUND(F76-E76,2)</f>
        <v>0</v>
      </c>
      <c r="H76" s="6" t="str">
        <f aca="false">IF(COUNTIFS(A$2:A$247,A76,C$2:C$247,C76)&gt;1,"DUPLICATE - REVIEW","OK")</f>
        <v>OK</v>
      </c>
      <c r="I76" s="6" t="str">
        <f aca="false">IF(D76&lt;&gt;"Regular","Off-Cycle - See Register",IF(H76="DUPLICATE - REVIEW","Duplicate Payment",IF(ABS(G76)&gt;0.01,"Gross Pay Discrepancy","Clear")))</f>
        <v>Clear</v>
      </c>
    </row>
    <row r="77" customFormat="false" ht="15" hidden="false" customHeight="false" outlineLevel="0" collapsed="false">
      <c r="A77" s="6" t="str">
        <f aca="false">'Payroll Register'!A77</f>
        <v>E1013</v>
      </c>
      <c r="B77" s="6" t="str">
        <f aca="false">'Payroll Register'!B77</f>
        <v>Employee 014</v>
      </c>
      <c r="C77" s="6" t="str">
        <f aca="false">'Payroll Register'!D77</f>
        <v>2026-06-08 to 2026-06-14</v>
      </c>
      <c r="D77" s="6" t="str">
        <f aca="false">'Payroll Register'!E77</f>
        <v>Regular</v>
      </c>
      <c r="E77" s="7" t="n">
        <f aca="false">ROUND('Payroll Register'!F77*'Payroll Register'!G77,2)</f>
        <v>998.34</v>
      </c>
      <c r="F77" s="7" t="n">
        <f aca="false">'Payroll Register'!H77</f>
        <v>998.34</v>
      </c>
      <c r="G77" s="7" t="n">
        <f aca="false">ROUND(F77-E77,2)</f>
        <v>0</v>
      </c>
      <c r="H77" s="6" t="str">
        <f aca="false">IF(COUNTIFS(A$2:A$247,A77,C$2:C$247,C77)&gt;1,"DUPLICATE - REVIEW","OK")</f>
        <v>OK</v>
      </c>
      <c r="I77" s="6" t="str">
        <f aca="false">IF(D77&lt;&gt;"Regular","Off-Cycle - See Register",IF(H77="DUPLICATE - REVIEW","Duplicate Payment",IF(ABS(G77)&gt;0.01,"Gross Pay Discrepancy","Clear")))</f>
        <v>Clear</v>
      </c>
    </row>
    <row r="78" customFormat="false" ht="15" hidden="false" customHeight="false" outlineLevel="0" collapsed="false">
      <c r="A78" s="6" t="str">
        <f aca="false">'Payroll Register'!A78</f>
        <v>E1014</v>
      </c>
      <c r="B78" s="6" t="str">
        <f aca="false">'Payroll Register'!B78</f>
        <v>Employee 015</v>
      </c>
      <c r="C78" s="6" t="str">
        <f aca="false">'Payroll Register'!D78</f>
        <v>2026-06-08 to 2026-06-14</v>
      </c>
      <c r="D78" s="6" t="str">
        <f aca="false">'Payroll Register'!E78</f>
        <v>Regular</v>
      </c>
      <c r="E78" s="7" t="n">
        <f aca="false">ROUND('Payroll Register'!F78*'Payroll Register'!G78,2)</f>
        <v>540.12</v>
      </c>
      <c r="F78" s="7" t="n">
        <f aca="false">'Payroll Register'!H78</f>
        <v>540.12</v>
      </c>
      <c r="G78" s="7" t="n">
        <f aca="false">ROUND(F78-E78,2)</f>
        <v>0</v>
      </c>
      <c r="H78" s="6" t="str">
        <f aca="false">IF(COUNTIFS(A$2:A$247,A78,C$2:C$247,C78)&gt;1,"DUPLICATE - REVIEW","OK")</f>
        <v>OK</v>
      </c>
      <c r="I78" s="6" t="str">
        <f aca="false">IF(D78&lt;&gt;"Regular","Off-Cycle - See Register",IF(H78="DUPLICATE - REVIEW","Duplicate Payment",IF(ABS(G78)&gt;0.01,"Gross Pay Discrepancy","Clear")))</f>
        <v>Clear</v>
      </c>
    </row>
    <row r="79" customFormat="false" ht="15" hidden="false" customHeight="false" outlineLevel="0" collapsed="false">
      <c r="A79" s="6" t="str">
        <f aca="false">'Payroll Register'!A79</f>
        <v>E1015</v>
      </c>
      <c r="B79" s="6" t="str">
        <f aca="false">'Payroll Register'!B79</f>
        <v>Employee 016</v>
      </c>
      <c r="C79" s="6" t="str">
        <f aca="false">'Payroll Register'!D79</f>
        <v>2026-06-08 to 2026-06-14</v>
      </c>
      <c r="D79" s="6" t="str">
        <f aca="false">'Payroll Register'!E79</f>
        <v>Regular</v>
      </c>
      <c r="E79" s="7" t="n">
        <f aca="false">ROUND('Payroll Register'!F79*'Payroll Register'!G79,2)</f>
        <v>759.92</v>
      </c>
      <c r="F79" s="7" t="n">
        <f aca="false">'Payroll Register'!H79</f>
        <v>759.92</v>
      </c>
      <c r="G79" s="7" t="n">
        <f aca="false">ROUND(F79-E79,2)</f>
        <v>0</v>
      </c>
      <c r="H79" s="6" t="str">
        <f aca="false">IF(COUNTIFS(A$2:A$247,A79,C$2:C$247,C79)&gt;1,"DUPLICATE - REVIEW","OK")</f>
        <v>OK</v>
      </c>
      <c r="I79" s="6" t="str">
        <f aca="false">IF(D79&lt;&gt;"Regular","Off-Cycle - See Register",IF(H79="DUPLICATE - REVIEW","Duplicate Payment",IF(ABS(G79)&gt;0.01,"Gross Pay Discrepancy","Clear")))</f>
        <v>Clear</v>
      </c>
    </row>
    <row r="80" customFormat="false" ht="15" hidden="false" customHeight="false" outlineLevel="0" collapsed="false">
      <c r="A80" s="6" t="str">
        <f aca="false">'Payroll Register'!A80</f>
        <v>E1016</v>
      </c>
      <c r="B80" s="6" t="str">
        <f aca="false">'Payroll Register'!B80</f>
        <v>Employee 017</v>
      </c>
      <c r="C80" s="6" t="str">
        <f aca="false">'Payroll Register'!D80</f>
        <v>2026-06-08 to 2026-06-14</v>
      </c>
      <c r="D80" s="6" t="str">
        <f aca="false">'Payroll Register'!E80</f>
        <v>Regular</v>
      </c>
      <c r="E80" s="7" t="n">
        <f aca="false">ROUND('Payroll Register'!F80*'Payroll Register'!G80,2)</f>
        <v>930.78</v>
      </c>
      <c r="F80" s="7" t="n">
        <f aca="false">'Payroll Register'!H80</f>
        <v>930.78</v>
      </c>
      <c r="G80" s="7" t="n">
        <f aca="false">ROUND(F80-E80,2)</f>
        <v>0</v>
      </c>
      <c r="H80" s="6" t="str">
        <f aca="false">IF(COUNTIFS(A$2:A$247,A80,C$2:C$247,C80)&gt;1,"DUPLICATE - REVIEW","OK")</f>
        <v>OK</v>
      </c>
      <c r="I80" s="6" t="str">
        <f aca="false">IF(D80&lt;&gt;"Regular","Off-Cycle - See Register",IF(H80="DUPLICATE - REVIEW","Duplicate Payment",IF(ABS(G80)&gt;0.01,"Gross Pay Discrepancy","Clear")))</f>
        <v>Clear</v>
      </c>
    </row>
    <row r="81" customFormat="false" ht="15" hidden="false" customHeight="false" outlineLevel="0" collapsed="false">
      <c r="A81" s="6" t="str">
        <f aca="false">'Payroll Register'!A81</f>
        <v>E1017</v>
      </c>
      <c r="B81" s="6" t="str">
        <f aca="false">'Payroll Register'!B81</f>
        <v>Employee 018</v>
      </c>
      <c r="C81" s="6" t="str">
        <f aca="false">'Payroll Register'!D81</f>
        <v>2026-06-08 to 2026-06-14</v>
      </c>
      <c r="D81" s="6" t="str">
        <f aca="false">'Payroll Register'!E81</f>
        <v>Regular</v>
      </c>
      <c r="E81" s="7" t="n">
        <f aca="false">ROUND('Payroll Register'!F81*'Payroll Register'!G81,2)</f>
        <v>449.13</v>
      </c>
      <c r="F81" s="7" t="n">
        <f aca="false">'Payroll Register'!H81</f>
        <v>449.13</v>
      </c>
      <c r="G81" s="7" t="n">
        <f aca="false">ROUND(F81-E81,2)</f>
        <v>0</v>
      </c>
      <c r="H81" s="6" t="str">
        <f aca="false">IF(COUNTIFS(A$2:A$247,A81,C$2:C$247,C81)&gt;1,"DUPLICATE - REVIEW","OK")</f>
        <v>OK</v>
      </c>
      <c r="I81" s="6" t="str">
        <f aca="false">IF(D81&lt;&gt;"Regular","Off-Cycle - See Register",IF(H81="DUPLICATE - REVIEW","Duplicate Payment",IF(ABS(G81)&gt;0.01,"Gross Pay Discrepancy","Clear")))</f>
        <v>Clear</v>
      </c>
    </row>
    <row r="82" customFormat="false" ht="15" hidden="false" customHeight="false" outlineLevel="0" collapsed="false">
      <c r="A82" s="6" t="str">
        <f aca="false">'Payroll Register'!A82</f>
        <v>E1018</v>
      </c>
      <c r="B82" s="6" t="str">
        <f aca="false">'Payroll Register'!B82</f>
        <v>Employee 019</v>
      </c>
      <c r="C82" s="6" t="str">
        <f aca="false">'Payroll Register'!D82</f>
        <v>2026-06-08 to 2026-06-14</v>
      </c>
      <c r="D82" s="6" t="str">
        <f aca="false">'Payroll Register'!E82</f>
        <v>Regular</v>
      </c>
      <c r="E82" s="7" t="n">
        <f aca="false">ROUND('Payroll Register'!F82*'Payroll Register'!G82,2)</f>
        <v>452.09</v>
      </c>
      <c r="F82" s="7" t="n">
        <f aca="false">'Payroll Register'!H82</f>
        <v>452.09</v>
      </c>
      <c r="G82" s="7" t="n">
        <f aca="false">ROUND(F82-E82,2)</f>
        <v>0</v>
      </c>
      <c r="H82" s="6" t="str">
        <f aca="false">IF(COUNTIFS(A$2:A$247,A82,C$2:C$247,C82)&gt;1,"DUPLICATE - REVIEW","OK")</f>
        <v>OK</v>
      </c>
      <c r="I82" s="6" t="str">
        <f aca="false">IF(D82&lt;&gt;"Regular","Off-Cycle - See Register",IF(H82="DUPLICATE - REVIEW","Duplicate Payment",IF(ABS(G82)&gt;0.01,"Gross Pay Discrepancy","Clear")))</f>
        <v>Clear</v>
      </c>
    </row>
    <row r="83" customFormat="false" ht="15" hidden="false" customHeight="false" outlineLevel="0" collapsed="false">
      <c r="A83" s="6" t="str">
        <f aca="false">'Payroll Register'!A83</f>
        <v>E1019</v>
      </c>
      <c r="B83" s="6" t="str">
        <f aca="false">'Payroll Register'!B83</f>
        <v>Employee 020</v>
      </c>
      <c r="C83" s="6" t="str">
        <f aca="false">'Payroll Register'!D83</f>
        <v>2026-06-08 to 2026-06-14</v>
      </c>
      <c r="D83" s="6" t="str">
        <f aca="false">'Payroll Register'!E83</f>
        <v>Regular</v>
      </c>
      <c r="E83" s="7" t="n">
        <f aca="false">ROUND('Payroll Register'!F83*'Payroll Register'!G83,2)</f>
        <v>509.45</v>
      </c>
      <c r="F83" s="7" t="n">
        <f aca="false">'Payroll Register'!H83</f>
        <v>509.45</v>
      </c>
      <c r="G83" s="7" t="n">
        <f aca="false">ROUND(F83-E83,2)</f>
        <v>0</v>
      </c>
      <c r="H83" s="6" t="str">
        <f aca="false">IF(COUNTIFS(A$2:A$247,A83,C$2:C$247,C83)&gt;1,"DUPLICATE - REVIEW","OK")</f>
        <v>OK</v>
      </c>
      <c r="I83" s="6" t="str">
        <f aca="false">IF(D83&lt;&gt;"Regular","Off-Cycle - See Register",IF(H83="DUPLICATE - REVIEW","Duplicate Payment",IF(ABS(G83)&gt;0.01,"Gross Pay Discrepancy","Clear")))</f>
        <v>Clear</v>
      </c>
    </row>
    <row r="84" customFormat="false" ht="15" hidden="false" customHeight="false" outlineLevel="0" collapsed="false">
      <c r="A84" s="6" t="str">
        <f aca="false">'Payroll Register'!A84</f>
        <v>E1020</v>
      </c>
      <c r="B84" s="6" t="str">
        <f aca="false">'Payroll Register'!B84</f>
        <v>Employee 021</v>
      </c>
      <c r="C84" s="6" t="str">
        <f aca="false">'Payroll Register'!D84</f>
        <v>2026-06-08 to 2026-06-14</v>
      </c>
      <c r="D84" s="6" t="str">
        <f aca="false">'Payroll Register'!E84</f>
        <v>Regular</v>
      </c>
      <c r="E84" s="7" t="n">
        <f aca="false">ROUND('Payroll Register'!F84*'Payroll Register'!G84,2)</f>
        <v>762.67</v>
      </c>
      <c r="F84" s="7" t="n">
        <f aca="false">'Payroll Register'!H84</f>
        <v>762.67</v>
      </c>
      <c r="G84" s="7" t="n">
        <f aca="false">ROUND(F84-E84,2)</f>
        <v>0</v>
      </c>
      <c r="H84" s="6" t="str">
        <f aca="false">IF(COUNTIFS(A$2:A$247,A84,C$2:C$247,C84)&gt;1,"DUPLICATE - REVIEW","OK")</f>
        <v>OK</v>
      </c>
      <c r="I84" s="6" t="str">
        <f aca="false">IF(D84&lt;&gt;"Regular","Off-Cycle - See Register",IF(H84="DUPLICATE - REVIEW","Duplicate Payment",IF(ABS(G84)&gt;0.01,"Gross Pay Discrepancy","Clear")))</f>
        <v>Clear</v>
      </c>
    </row>
    <row r="85" customFormat="false" ht="15" hidden="false" customHeight="false" outlineLevel="0" collapsed="false">
      <c r="A85" s="6" t="str">
        <f aca="false">'Payroll Register'!A85</f>
        <v>E1021</v>
      </c>
      <c r="B85" s="6" t="str">
        <f aca="false">'Payroll Register'!B85</f>
        <v>Employee 022</v>
      </c>
      <c r="C85" s="6" t="str">
        <f aca="false">'Payroll Register'!D85</f>
        <v>2026-06-08 to 2026-06-14</v>
      </c>
      <c r="D85" s="6" t="str">
        <f aca="false">'Payroll Register'!E85</f>
        <v>Regular</v>
      </c>
      <c r="E85" s="7" t="n">
        <f aca="false">ROUND('Payroll Register'!F85*'Payroll Register'!G85,2)</f>
        <v>535.76</v>
      </c>
      <c r="F85" s="7" t="n">
        <f aca="false">'Payroll Register'!H85</f>
        <v>535.76</v>
      </c>
      <c r="G85" s="7" t="n">
        <f aca="false">ROUND(F85-E85,2)</f>
        <v>0</v>
      </c>
      <c r="H85" s="6" t="str">
        <f aca="false">IF(COUNTIFS(A$2:A$247,A85,C$2:C$247,C85)&gt;1,"DUPLICATE - REVIEW","OK")</f>
        <v>OK</v>
      </c>
      <c r="I85" s="6" t="str">
        <f aca="false">IF(D85&lt;&gt;"Regular","Off-Cycle - See Register",IF(H85="DUPLICATE - REVIEW","Duplicate Payment",IF(ABS(G85)&gt;0.01,"Gross Pay Discrepancy","Clear")))</f>
        <v>Clear</v>
      </c>
    </row>
    <row r="86" customFormat="false" ht="15" hidden="false" customHeight="false" outlineLevel="0" collapsed="false">
      <c r="A86" s="6" t="str">
        <f aca="false">'Payroll Register'!A86</f>
        <v>E1022</v>
      </c>
      <c r="B86" s="6" t="str">
        <f aca="false">'Payroll Register'!B86</f>
        <v>Employee 023</v>
      </c>
      <c r="C86" s="6" t="str">
        <f aca="false">'Payroll Register'!D86</f>
        <v>2026-06-08 to 2026-06-14</v>
      </c>
      <c r="D86" s="6" t="str">
        <f aca="false">'Payroll Register'!E86</f>
        <v>Regular</v>
      </c>
      <c r="E86" s="7" t="n">
        <f aca="false">ROUND('Payroll Register'!F86*'Payroll Register'!G86,2)</f>
        <v>722.01</v>
      </c>
      <c r="F86" s="7" t="n">
        <f aca="false">'Payroll Register'!H86</f>
        <v>722.01</v>
      </c>
      <c r="G86" s="7" t="n">
        <f aca="false">ROUND(F86-E86,2)</f>
        <v>0</v>
      </c>
      <c r="H86" s="6" t="str">
        <f aca="false">IF(COUNTIFS(A$2:A$247,A86,C$2:C$247,C86)&gt;1,"DUPLICATE - REVIEW","OK")</f>
        <v>OK</v>
      </c>
      <c r="I86" s="6" t="str">
        <f aca="false">IF(D86&lt;&gt;"Regular","Off-Cycle - See Register",IF(H86="DUPLICATE - REVIEW","Duplicate Payment",IF(ABS(G86)&gt;0.01,"Gross Pay Discrepancy","Clear")))</f>
        <v>Clear</v>
      </c>
    </row>
    <row r="87" customFormat="false" ht="15" hidden="false" customHeight="false" outlineLevel="0" collapsed="false">
      <c r="A87" s="6" t="str">
        <f aca="false">'Payroll Register'!A87</f>
        <v>E1023</v>
      </c>
      <c r="B87" s="6" t="str">
        <f aca="false">'Payroll Register'!B87</f>
        <v>Employee 024</v>
      </c>
      <c r="C87" s="6" t="str">
        <f aca="false">'Payroll Register'!D87</f>
        <v>2026-06-08 to 2026-06-14</v>
      </c>
      <c r="D87" s="6" t="str">
        <f aca="false">'Payroll Register'!E87</f>
        <v>Regular</v>
      </c>
      <c r="E87" s="7" t="n">
        <f aca="false">ROUND('Payroll Register'!F87*'Payroll Register'!G87,2)</f>
        <v>441.07</v>
      </c>
      <c r="F87" s="7" t="n">
        <f aca="false">'Payroll Register'!H87</f>
        <v>441.07</v>
      </c>
      <c r="G87" s="7" t="n">
        <f aca="false">ROUND(F87-E87,2)</f>
        <v>0</v>
      </c>
      <c r="H87" s="6" t="str">
        <f aca="false">IF(COUNTIFS(A$2:A$247,A87,C$2:C$247,C87)&gt;1,"DUPLICATE - REVIEW","OK")</f>
        <v>OK</v>
      </c>
      <c r="I87" s="6" t="str">
        <f aca="false">IF(D87&lt;&gt;"Regular","Off-Cycle - See Register",IF(H87="DUPLICATE - REVIEW","Duplicate Payment",IF(ABS(G87)&gt;0.01,"Gross Pay Discrepancy","Clear")))</f>
        <v>Clear</v>
      </c>
    </row>
    <row r="88" customFormat="false" ht="15" hidden="false" customHeight="false" outlineLevel="0" collapsed="false">
      <c r="A88" s="6" t="str">
        <f aca="false">'Payroll Register'!A88</f>
        <v>E1024</v>
      </c>
      <c r="B88" s="6" t="str">
        <f aca="false">'Payroll Register'!B88</f>
        <v>Employee 025</v>
      </c>
      <c r="C88" s="6" t="str">
        <f aca="false">'Payroll Register'!D88</f>
        <v>2026-06-08 to 2026-06-14</v>
      </c>
      <c r="D88" s="6" t="str">
        <f aca="false">'Payroll Register'!E88</f>
        <v>Regular</v>
      </c>
      <c r="E88" s="7" t="n">
        <f aca="false">ROUND('Payroll Register'!F88*'Payroll Register'!G88,2)</f>
        <v>360.84</v>
      </c>
      <c r="F88" s="7" t="n">
        <f aca="false">'Payroll Register'!H88</f>
        <v>360.84</v>
      </c>
      <c r="G88" s="7" t="n">
        <f aca="false">ROUND(F88-E88,2)</f>
        <v>0</v>
      </c>
      <c r="H88" s="6" t="str">
        <f aca="false">IF(COUNTIFS(A$2:A$247,A88,C$2:C$247,C88)&gt;1,"DUPLICATE - REVIEW","OK")</f>
        <v>OK</v>
      </c>
      <c r="I88" s="6" t="str">
        <f aca="false">IF(D88&lt;&gt;"Regular","Off-Cycle - See Register",IF(H88="DUPLICATE - REVIEW","Duplicate Payment",IF(ABS(G88)&gt;0.01,"Gross Pay Discrepancy","Clear")))</f>
        <v>Clear</v>
      </c>
    </row>
    <row r="89" customFormat="false" ht="15" hidden="false" customHeight="false" outlineLevel="0" collapsed="false">
      <c r="A89" s="6" t="str">
        <f aca="false">'Payroll Register'!A89</f>
        <v>E1025</v>
      </c>
      <c r="B89" s="6" t="str">
        <f aca="false">'Payroll Register'!B89</f>
        <v>Employee 026</v>
      </c>
      <c r="C89" s="6" t="str">
        <f aca="false">'Payroll Register'!D89</f>
        <v>2026-06-08 to 2026-06-14</v>
      </c>
      <c r="D89" s="6" t="str">
        <f aca="false">'Payroll Register'!E89</f>
        <v>Regular</v>
      </c>
      <c r="E89" s="7" t="n">
        <f aca="false">ROUND('Payroll Register'!F89*'Payroll Register'!G89,2)</f>
        <v>352.69</v>
      </c>
      <c r="F89" s="7" t="n">
        <f aca="false">'Payroll Register'!H89</f>
        <v>352.69</v>
      </c>
      <c r="G89" s="7" t="n">
        <f aca="false">ROUND(F89-E89,2)</f>
        <v>0</v>
      </c>
      <c r="H89" s="6" t="str">
        <f aca="false">IF(COUNTIFS(A$2:A$247,A89,C$2:C$247,C89)&gt;1,"DUPLICATE - REVIEW","OK")</f>
        <v>OK</v>
      </c>
      <c r="I89" s="6" t="str">
        <f aca="false">IF(D89&lt;&gt;"Regular","Off-Cycle - See Register",IF(H89="DUPLICATE - REVIEW","Duplicate Payment",IF(ABS(G89)&gt;0.01,"Gross Pay Discrepancy","Clear")))</f>
        <v>Clear</v>
      </c>
    </row>
    <row r="90" customFormat="false" ht="15" hidden="false" customHeight="false" outlineLevel="0" collapsed="false">
      <c r="A90" s="6" t="str">
        <f aca="false">'Payroll Register'!A90</f>
        <v>E1026</v>
      </c>
      <c r="B90" s="6" t="str">
        <f aca="false">'Payroll Register'!B90</f>
        <v>Employee 027</v>
      </c>
      <c r="C90" s="6" t="str">
        <f aca="false">'Payroll Register'!D90</f>
        <v>2026-06-08 to 2026-06-14</v>
      </c>
      <c r="D90" s="6" t="str">
        <f aca="false">'Payroll Register'!E90</f>
        <v>Regular</v>
      </c>
      <c r="E90" s="7" t="n">
        <f aca="false">ROUND('Payroll Register'!F90*'Payroll Register'!G90,2)</f>
        <v>623.58</v>
      </c>
      <c r="F90" s="7" t="n">
        <f aca="false">'Payroll Register'!H90</f>
        <v>603.58</v>
      </c>
      <c r="G90" s="7" t="n">
        <f aca="false">ROUND(F90-E90,2)</f>
        <v>-20</v>
      </c>
      <c r="H90" s="6" t="str">
        <f aca="false">IF(COUNTIFS(A$2:A$247,A90,C$2:C$247,C90)&gt;1,"DUPLICATE - REVIEW","OK")</f>
        <v>OK</v>
      </c>
      <c r="I90" s="6" t="str">
        <f aca="false">IF(D90&lt;&gt;"Regular","Off-Cycle - See Register",IF(H90="DUPLICATE - REVIEW","Duplicate Payment",IF(ABS(G90)&gt;0.01,"Gross Pay Discrepancy","Clear")))</f>
        <v>Gross Pay Discrepancy</v>
      </c>
    </row>
    <row r="91" customFormat="false" ht="15" hidden="false" customHeight="false" outlineLevel="0" collapsed="false">
      <c r="A91" s="6" t="str">
        <f aca="false">'Payroll Register'!A91</f>
        <v>E1027</v>
      </c>
      <c r="B91" s="6" t="str">
        <f aca="false">'Payroll Register'!B91</f>
        <v>Employee 028</v>
      </c>
      <c r="C91" s="6" t="str">
        <f aca="false">'Payroll Register'!D91</f>
        <v>2026-06-08 to 2026-06-14</v>
      </c>
      <c r="D91" s="6" t="str">
        <f aca="false">'Payroll Register'!E91</f>
        <v>Regular</v>
      </c>
      <c r="E91" s="7" t="n">
        <f aca="false">ROUND('Payroll Register'!F91*'Payroll Register'!G91,2)</f>
        <v>824.85</v>
      </c>
      <c r="F91" s="7" t="n">
        <f aca="false">'Payroll Register'!H91</f>
        <v>824.85</v>
      </c>
      <c r="G91" s="7" t="n">
        <f aca="false">ROUND(F91-E91,2)</f>
        <v>0</v>
      </c>
      <c r="H91" s="6" t="str">
        <f aca="false">IF(COUNTIFS(A$2:A$247,A91,C$2:C$247,C91)&gt;1,"DUPLICATE - REVIEW","OK")</f>
        <v>OK</v>
      </c>
      <c r="I91" s="6" t="str">
        <f aca="false">IF(D91&lt;&gt;"Regular","Off-Cycle - See Register",IF(H91="DUPLICATE - REVIEW","Duplicate Payment",IF(ABS(G91)&gt;0.01,"Gross Pay Discrepancy","Clear")))</f>
        <v>Clear</v>
      </c>
    </row>
    <row r="92" customFormat="false" ht="15" hidden="false" customHeight="false" outlineLevel="0" collapsed="false">
      <c r="A92" s="6" t="str">
        <f aca="false">'Payroll Register'!A92</f>
        <v>E1028</v>
      </c>
      <c r="B92" s="6" t="str">
        <f aca="false">'Payroll Register'!B92</f>
        <v>Employee 029</v>
      </c>
      <c r="C92" s="6" t="str">
        <f aca="false">'Payroll Register'!D92</f>
        <v>2026-06-08 to 2026-06-14</v>
      </c>
      <c r="D92" s="6" t="str">
        <f aca="false">'Payroll Register'!E92</f>
        <v>Regular</v>
      </c>
      <c r="E92" s="7" t="n">
        <f aca="false">ROUND('Payroll Register'!F92*'Payroll Register'!G92,2)</f>
        <v>511.75</v>
      </c>
      <c r="F92" s="7" t="n">
        <f aca="false">'Payroll Register'!H92</f>
        <v>511.75</v>
      </c>
      <c r="G92" s="7" t="n">
        <f aca="false">ROUND(F92-E92,2)</f>
        <v>0</v>
      </c>
      <c r="H92" s="6" t="str">
        <f aca="false">IF(COUNTIFS(A$2:A$247,A92,C$2:C$247,C92)&gt;1,"DUPLICATE - REVIEW","OK")</f>
        <v>OK</v>
      </c>
      <c r="I92" s="6" t="str">
        <f aca="false">IF(D92&lt;&gt;"Regular","Off-Cycle - See Register",IF(H92="DUPLICATE - REVIEW","Duplicate Payment",IF(ABS(G92)&gt;0.01,"Gross Pay Discrepancy","Clear")))</f>
        <v>Clear</v>
      </c>
    </row>
    <row r="93" customFormat="false" ht="15" hidden="false" customHeight="false" outlineLevel="0" collapsed="false">
      <c r="A93" s="6" t="str">
        <f aca="false">'Payroll Register'!A93</f>
        <v>E1029</v>
      </c>
      <c r="B93" s="6" t="str">
        <f aca="false">'Payroll Register'!B93</f>
        <v>Employee 030</v>
      </c>
      <c r="C93" s="6" t="str">
        <f aca="false">'Payroll Register'!D93</f>
        <v>2026-06-08 to 2026-06-14</v>
      </c>
      <c r="D93" s="6" t="str">
        <f aca="false">'Payroll Register'!E93</f>
        <v>Regular</v>
      </c>
      <c r="E93" s="7" t="n">
        <f aca="false">ROUND('Payroll Register'!F93*'Payroll Register'!G93,2)</f>
        <v>286.85</v>
      </c>
      <c r="F93" s="7" t="n">
        <f aca="false">'Payroll Register'!H93</f>
        <v>286.85</v>
      </c>
      <c r="G93" s="7" t="n">
        <f aca="false">ROUND(F93-E93,2)</f>
        <v>0</v>
      </c>
      <c r="H93" s="6" t="str">
        <f aca="false">IF(COUNTIFS(A$2:A$247,A93,C$2:C$247,C93)&gt;1,"DUPLICATE - REVIEW","OK")</f>
        <v>OK</v>
      </c>
      <c r="I93" s="6" t="str">
        <f aca="false">IF(D93&lt;&gt;"Regular","Off-Cycle - See Register",IF(H93="DUPLICATE - REVIEW","Duplicate Payment",IF(ABS(G93)&gt;0.01,"Gross Pay Discrepancy","Clear")))</f>
        <v>Clear</v>
      </c>
    </row>
    <row r="94" customFormat="false" ht="15" hidden="false" customHeight="false" outlineLevel="0" collapsed="false">
      <c r="A94" s="6" t="str">
        <f aca="false">'Payroll Register'!A94</f>
        <v>E1030</v>
      </c>
      <c r="B94" s="6" t="str">
        <f aca="false">'Payroll Register'!B94</f>
        <v>Employee 031</v>
      </c>
      <c r="C94" s="6" t="str">
        <f aca="false">'Payroll Register'!D94</f>
        <v>2026-06-08 to 2026-06-14</v>
      </c>
      <c r="D94" s="6" t="str">
        <f aca="false">'Payroll Register'!E94</f>
        <v>Regular</v>
      </c>
      <c r="E94" s="7" t="n">
        <f aca="false">ROUND('Payroll Register'!F94*'Payroll Register'!G94,2)</f>
        <v>509.74</v>
      </c>
      <c r="F94" s="7" t="n">
        <f aca="false">'Payroll Register'!H94</f>
        <v>509.74</v>
      </c>
      <c r="G94" s="7" t="n">
        <f aca="false">ROUND(F94-E94,2)</f>
        <v>0</v>
      </c>
      <c r="H94" s="6" t="str">
        <f aca="false">IF(COUNTIFS(A$2:A$247,A94,C$2:C$247,C94)&gt;1,"DUPLICATE - REVIEW","OK")</f>
        <v>OK</v>
      </c>
      <c r="I94" s="6" t="str">
        <f aca="false">IF(D94&lt;&gt;"Regular","Off-Cycle - See Register",IF(H94="DUPLICATE - REVIEW","Duplicate Payment",IF(ABS(G94)&gt;0.01,"Gross Pay Discrepancy","Clear")))</f>
        <v>Clear</v>
      </c>
    </row>
    <row r="95" customFormat="false" ht="15" hidden="false" customHeight="false" outlineLevel="0" collapsed="false">
      <c r="A95" s="6" t="str">
        <f aca="false">'Payroll Register'!A95</f>
        <v>E1031</v>
      </c>
      <c r="B95" s="6" t="str">
        <f aca="false">'Payroll Register'!B95</f>
        <v>Employee 032</v>
      </c>
      <c r="C95" s="6" t="str">
        <f aca="false">'Payroll Register'!D95</f>
        <v>2026-06-08 to 2026-06-14</v>
      </c>
      <c r="D95" s="6" t="str">
        <f aca="false">'Payroll Register'!E95</f>
        <v>Regular</v>
      </c>
      <c r="E95" s="7" t="n">
        <f aca="false">ROUND('Payroll Register'!F95*'Payroll Register'!G95,2)</f>
        <v>623.24</v>
      </c>
      <c r="F95" s="7" t="n">
        <f aca="false">'Payroll Register'!H95</f>
        <v>623.24</v>
      </c>
      <c r="G95" s="7" t="n">
        <f aca="false">ROUND(F95-E95,2)</f>
        <v>0</v>
      </c>
      <c r="H95" s="6" t="str">
        <f aca="false">IF(COUNTIFS(A$2:A$247,A95,C$2:C$247,C95)&gt;1,"DUPLICATE - REVIEW","OK")</f>
        <v>OK</v>
      </c>
      <c r="I95" s="6" t="str">
        <f aca="false">IF(D95&lt;&gt;"Regular","Off-Cycle - See Register",IF(H95="DUPLICATE - REVIEW","Duplicate Payment",IF(ABS(G95)&gt;0.01,"Gross Pay Discrepancy","Clear")))</f>
        <v>Clear</v>
      </c>
    </row>
    <row r="96" customFormat="false" ht="15" hidden="false" customHeight="false" outlineLevel="0" collapsed="false">
      <c r="A96" s="6" t="str">
        <f aca="false">'Payroll Register'!A96</f>
        <v>E1032</v>
      </c>
      <c r="B96" s="6" t="str">
        <f aca="false">'Payroll Register'!B96</f>
        <v>Employee 033</v>
      </c>
      <c r="C96" s="6" t="str">
        <f aca="false">'Payroll Register'!D96</f>
        <v>2026-06-08 to 2026-06-14</v>
      </c>
      <c r="D96" s="6" t="str">
        <f aca="false">'Payroll Register'!E96</f>
        <v>Regular</v>
      </c>
      <c r="E96" s="7" t="n">
        <f aca="false">ROUND('Payroll Register'!F96*'Payroll Register'!G96,2)</f>
        <v>778.19</v>
      </c>
      <c r="F96" s="7" t="n">
        <f aca="false">'Payroll Register'!H96</f>
        <v>778.19</v>
      </c>
      <c r="G96" s="7" t="n">
        <f aca="false">ROUND(F96-E96,2)</f>
        <v>0</v>
      </c>
      <c r="H96" s="6" t="str">
        <f aca="false">IF(COUNTIFS(A$2:A$247,A96,C$2:C$247,C96)&gt;1,"DUPLICATE - REVIEW","OK")</f>
        <v>OK</v>
      </c>
      <c r="I96" s="6" t="str">
        <f aca="false">IF(D96&lt;&gt;"Regular","Off-Cycle - See Register",IF(H96="DUPLICATE - REVIEW","Duplicate Payment",IF(ABS(G96)&gt;0.01,"Gross Pay Discrepancy","Clear")))</f>
        <v>Clear</v>
      </c>
    </row>
    <row r="97" customFormat="false" ht="15" hidden="false" customHeight="false" outlineLevel="0" collapsed="false">
      <c r="A97" s="6" t="str">
        <f aca="false">'Payroll Register'!A97</f>
        <v>E1033</v>
      </c>
      <c r="B97" s="6" t="str">
        <f aca="false">'Payroll Register'!B97</f>
        <v>Employee 034</v>
      </c>
      <c r="C97" s="6" t="str">
        <f aca="false">'Payroll Register'!D97</f>
        <v>2026-06-08 to 2026-06-14</v>
      </c>
      <c r="D97" s="6" t="str">
        <f aca="false">'Payroll Register'!E97</f>
        <v>Regular</v>
      </c>
      <c r="E97" s="7" t="n">
        <f aca="false">ROUND('Payroll Register'!F97*'Payroll Register'!G97,2)</f>
        <v>949.76</v>
      </c>
      <c r="F97" s="7" t="n">
        <f aca="false">'Payroll Register'!H97</f>
        <v>949.76</v>
      </c>
      <c r="G97" s="7" t="n">
        <f aca="false">ROUND(F97-E97,2)</f>
        <v>0</v>
      </c>
      <c r="H97" s="6" t="str">
        <f aca="false">IF(COUNTIFS(A$2:A$247,A97,C$2:C$247,C97)&gt;1,"DUPLICATE - REVIEW","OK")</f>
        <v>OK</v>
      </c>
      <c r="I97" s="6" t="str">
        <f aca="false">IF(D97&lt;&gt;"Regular","Off-Cycle - See Register",IF(H97="DUPLICATE - REVIEW","Duplicate Payment",IF(ABS(G97)&gt;0.01,"Gross Pay Discrepancy","Clear")))</f>
        <v>Clear</v>
      </c>
    </row>
    <row r="98" customFormat="false" ht="15" hidden="false" customHeight="false" outlineLevel="0" collapsed="false">
      <c r="A98" s="6" t="str">
        <f aca="false">'Payroll Register'!A98</f>
        <v>E1034</v>
      </c>
      <c r="B98" s="6" t="str">
        <f aca="false">'Payroll Register'!B98</f>
        <v>Employee 035</v>
      </c>
      <c r="C98" s="6" t="str">
        <f aca="false">'Payroll Register'!D98</f>
        <v>2026-06-08 to 2026-06-14</v>
      </c>
      <c r="D98" s="6" t="str">
        <f aca="false">'Payroll Register'!E98</f>
        <v>Regular</v>
      </c>
      <c r="E98" s="7" t="n">
        <f aca="false">ROUND('Payroll Register'!F98*'Payroll Register'!G98,2)</f>
        <v>910.59</v>
      </c>
      <c r="F98" s="7" t="n">
        <f aca="false">'Payroll Register'!H98</f>
        <v>910.59</v>
      </c>
      <c r="G98" s="7" t="n">
        <f aca="false">ROUND(F98-E98,2)</f>
        <v>0</v>
      </c>
      <c r="H98" s="6" t="str">
        <f aca="false">IF(COUNTIFS(A$2:A$247,A98,C$2:C$247,C98)&gt;1,"DUPLICATE - REVIEW","OK")</f>
        <v>OK</v>
      </c>
      <c r="I98" s="6" t="str">
        <f aca="false">IF(D98&lt;&gt;"Regular","Off-Cycle - See Register",IF(H98="DUPLICATE - REVIEW","Duplicate Payment",IF(ABS(G98)&gt;0.01,"Gross Pay Discrepancy","Clear")))</f>
        <v>Clear</v>
      </c>
    </row>
    <row r="99" customFormat="false" ht="15" hidden="false" customHeight="false" outlineLevel="0" collapsed="false">
      <c r="A99" s="6" t="str">
        <f aca="false">'Payroll Register'!A99</f>
        <v>E1035</v>
      </c>
      <c r="B99" s="6" t="str">
        <f aca="false">'Payroll Register'!B99</f>
        <v>Employee 036</v>
      </c>
      <c r="C99" s="6" t="str">
        <f aca="false">'Payroll Register'!D99</f>
        <v>2026-06-08 to 2026-06-14</v>
      </c>
      <c r="D99" s="6" t="str">
        <f aca="false">'Payroll Register'!E99</f>
        <v>Regular</v>
      </c>
      <c r="E99" s="7" t="n">
        <f aca="false">ROUND('Payroll Register'!F99*'Payroll Register'!G99,2)</f>
        <v>639.83</v>
      </c>
      <c r="F99" s="7" t="n">
        <f aca="false">'Payroll Register'!H99</f>
        <v>639.83</v>
      </c>
      <c r="G99" s="7" t="n">
        <f aca="false">ROUND(F99-E99,2)</f>
        <v>0</v>
      </c>
      <c r="H99" s="6" t="str">
        <f aca="false">IF(COUNTIFS(A$2:A$247,A99,C$2:C$247,C99)&gt;1,"DUPLICATE - REVIEW","OK")</f>
        <v>OK</v>
      </c>
      <c r="I99" s="6" t="str">
        <f aca="false">IF(D99&lt;&gt;"Regular","Off-Cycle - See Register",IF(H99="DUPLICATE - REVIEW","Duplicate Payment",IF(ABS(G99)&gt;0.01,"Gross Pay Discrepancy","Clear")))</f>
        <v>Clear</v>
      </c>
    </row>
    <row r="100" customFormat="false" ht="15" hidden="false" customHeight="false" outlineLevel="0" collapsed="false">
      <c r="A100" s="6" t="str">
        <f aca="false">'Payroll Register'!A100</f>
        <v>E1036</v>
      </c>
      <c r="B100" s="6" t="str">
        <f aca="false">'Payroll Register'!B100</f>
        <v>Employee 037</v>
      </c>
      <c r="C100" s="6" t="str">
        <f aca="false">'Payroll Register'!D100</f>
        <v>2026-06-08 to 2026-06-14</v>
      </c>
      <c r="D100" s="6" t="str">
        <f aca="false">'Payroll Register'!E100</f>
        <v>Regular</v>
      </c>
      <c r="E100" s="7" t="n">
        <f aca="false">ROUND('Payroll Register'!F100*'Payroll Register'!G100,2)</f>
        <v>581.09</v>
      </c>
      <c r="F100" s="7" t="n">
        <f aca="false">'Payroll Register'!H100</f>
        <v>581.09</v>
      </c>
      <c r="G100" s="7" t="n">
        <f aca="false">ROUND(F100-E100,2)</f>
        <v>0</v>
      </c>
      <c r="H100" s="6" t="str">
        <f aca="false">IF(COUNTIFS(A$2:A$247,A100,C$2:C$247,C100)&gt;1,"DUPLICATE - REVIEW","OK")</f>
        <v>OK</v>
      </c>
      <c r="I100" s="6" t="str">
        <f aca="false">IF(D100&lt;&gt;"Regular","Off-Cycle - See Register",IF(H100="DUPLICATE - REVIEW","Duplicate Payment",IF(ABS(G100)&gt;0.01,"Gross Pay Discrepancy","Clear")))</f>
        <v>Clear</v>
      </c>
    </row>
    <row r="101" customFormat="false" ht="15" hidden="false" customHeight="false" outlineLevel="0" collapsed="false">
      <c r="A101" s="6" t="str">
        <f aca="false">'Payroll Register'!A101</f>
        <v>E1037</v>
      </c>
      <c r="B101" s="6" t="str">
        <f aca="false">'Payroll Register'!B101</f>
        <v>Employee 038</v>
      </c>
      <c r="C101" s="6" t="str">
        <f aca="false">'Payroll Register'!D101</f>
        <v>2026-06-08 to 2026-06-14</v>
      </c>
      <c r="D101" s="6" t="str">
        <f aca="false">'Payroll Register'!E101</f>
        <v>Regular</v>
      </c>
      <c r="E101" s="7" t="n">
        <f aca="false">ROUND('Payroll Register'!F101*'Payroll Register'!G101,2)</f>
        <v>974.33</v>
      </c>
      <c r="F101" s="7" t="n">
        <f aca="false">'Payroll Register'!H101</f>
        <v>974.33</v>
      </c>
      <c r="G101" s="7" t="n">
        <f aca="false">ROUND(F101-E101,2)</f>
        <v>0</v>
      </c>
      <c r="H101" s="6" t="str">
        <f aca="false">IF(COUNTIFS(A$2:A$247,A101,C$2:C$247,C101)&gt;1,"DUPLICATE - REVIEW","OK")</f>
        <v>OK</v>
      </c>
      <c r="I101" s="6" t="str">
        <f aca="false">IF(D101&lt;&gt;"Regular","Off-Cycle - See Register",IF(H101="DUPLICATE - REVIEW","Duplicate Payment",IF(ABS(G101)&gt;0.01,"Gross Pay Discrepancy","Clear")))</f>
        <v>Clear</v>
      </c>
    </row>
    <row r="102" customFormat="false" ht="15" hidden="false" customHeight="false" outlineLevel="0" collapsed="false">
      <c r="A102" s="6" t="str">
        <f aca="false">'Payroll Register'!A102</f>
        <v>E1038</v>
      </c>
      <c r="B102" s="6" t="str">
        <f aca="false">'Payroll Register'!B102</f>
        <v>Employee 039</v>
      </c>
      <c r="C102" s="6" t="str">
        <f aca="false">'Payroll Register'!D102</f>
        <v>2026-06-08 to 2026-06-14</v>
      </c>
      <c r="D102" s="6" t="str">
        <f aca="false">'Payroll Register'!E102</f>
        <v>Regular</v>
      </c>
      <c r="E102" s="7" t="n">
        <f aca="false">ROUND('Payroll Register'!F102*'Payroll Register'!G102,2)</f>
        <v>504.7</v>
      </c>
      <c r="F102" s="7" t="n">
        <f aca="false">'Payroll Register'!H102</f>
        <v>504.7</v>
      </c>
      <c r="G102" s="7" t="n">
        <f aca="false">ROUND(F102-E102,2)</f>
        <v>0</v>
      </c>
      <c r="H102" s="6" t="str">
        <f aca="false">IF(COUNTIFS(A$2:A$247,A102,C$2:C$247,C102)&gt;1,"DUPLICATE - REVIEW","OK")</f>
        <v>OK</v>
      </c>
      <c r="I102" s="6" t="str">
        <f aca="false">IF(D102&lt;&gt;"Regular","Off-Cycle - See Register",IF(H102="DUPLICATE - REVIEW","Duplicate Payment",IF(ABS(G102)&gt;0.01,"Gross Pay Discrepancy","Clear")))</f>
        <v>Clear</v>
      </c>
    </row>
    <row r="103" customFormat="false" ht="15" hidden="false" customHeight="false" outlineLevel="0" collapsed="false">
      <c r="A103" s="6" t="str">
        <f aca="false">'Payroll Register'!A103</f>
        <v>E1039</v>
      </c>
      <c r="B103" s="6" t="str">
        <f aca="false">'Payroll Register'!B103</f>
        <v>Employee 040</v>
      </c>
      <c r="C103" s="6" t="str">
        <f aca="false">'Payroll Register'!D103</f>
        <v>2026-06-08 to 2026-06-14</v>
      </c>
      <c r="D103" s="6" t="str">
        <f aca="false">'Payroll Register'!E103</f>
        <v>Regular</v>
      </c>
      <c r="E103" s="7" t="n">
        <f aca="false">ROUND('Payroll Register'!F103*'Payroll Register'!G103,2)</f>
        <v>809.96</v>
      </c>
      <c r="F103" s="7" t="n">
        <f aca="false">'Payroll Register'!H103</f>
        <v>809.96</v>
      </c>
      <c r="G103" s="7" t="n">
        <f aca="false">ROUND(F103-E103,2)</f>
        <v>0</v>
      </c>
      <c r="H103" s="6" t="str">
        <f aca="false">IF(COUNTIFS(A$2:A$247,A103,C$2:C$247,C103)&gt;1,"DUPLICATE - REVIEW","OK")</f>
        <v>OK</v>
      </c>
      <c r="I103" s="6" t="str">
        <f aca="false">IF(D103&lt;&gt;"Regular","Off-Cycle - See Register",IF(H103="DUPLICATE - REVIEW","Duplicate Payment",IF(ABS(G103)&gt;0.01,"Gross Pay Discrepancy","Clear")))</f>
        <v>Clear</v>
      </c>
    </row>
    <row r="104" customFormat="false" ht="15" hidden="false" customHeight="false" outlineLevel="0" collapsed="false">
      <c r="A104" s="6" t="str">
        <f aca="false">'Payroll Register'!A104</f>
        <v>E1040</v>
      </c>
      <c r="B104" s="6" t="str">
        <f aca="false">'Payroll Register'!B104</f>
        <v>Employee 041</v>
      </c>
      <c r="C104" s="6" t="str">
        <f aca="false">'Payroll Register'!D104</f>
        <v>2026-06-08 to 2026-06-14</v>
      </c>
      <c r="D104" s="6" t="str">
        <f aca="false">'Payroll Register'!E104</f>
        <v>Regular</v>
      </c>
      <c r="E104" s="7" t="n">
        <f aca="false">ROUND('Payroll Register'!F104*'Payroll Register'!G104,2)</f>
        <v>640.73</v>
      </c>
      <c r="F104" s="7" t="n">
        <f aca="false">'Payroll Register'!H104</f>
        <v>640.73</v>
      </c>
      <c r="G104" s="7" t="n">
        <f aca="false">ROUND(F104-E104,2)</f>
        <v>0</v>
      </c>
      <c r="H104" s="6" t="str">
        <f aca="false">IF(COUNTIFS(A$2:A$247,A104,C$2:C$247,C104)&gt;1,"DUPLICATE - REVIEW","OK")</f>
        <v>OK</v>
      </c>
      <c r="I104" s="6" t="str">
        <f aca="false">IF(D104&lt;&gt;"Regular","Off-Cycle - See Register",IF(H104="DUPLICATE - REVIEW","Duplicate Payment",IF(ABS(G104)&gt;0.01,"Gross Pay Discrepancy","Clear")))</f>
        <v>Clear</v>
      </c>
    </row>
    <row r="105" customFormat="false" ht="15" hidden="false" customHeight="false" outlineLevel="0" collapsed="false">
      <c r="A105" s="6" t="str">
        <f aca="false">'Payroll Register'!A105</f>
        <v>E1041</v>
      </c>
      <c r="B105" s="6" t="str">
        <f aca="false">'Payroll Register'!B105</f>
        <v>Employee 042</v>
      </c>
      <c r="C105" s="6" t="str">
        <f aca="false">'Payroll Register'!D105</f>
        <v>2026-06-08 to 2026-06-14</v>
      </c>
      <c r="D105" s="6" t="str">
        <f aca="false">'Payroll Register'!E105</f>
        <v>Regular</v>
      </c>
      <c r="E105" s="7" t="n">
        <f aca="false">ROUND('Payroll Register'!F105*'Payroll Register'!G105,2)</f>
        <v>814.33</v>
      </c>
      <c r="F105" s="7" t="n">
        <f aca="false">'Payroll Register'!H105</f>
        <v>814.33</v>
      </c>
      <c r="G105" s="7" t="n">
        <f aca="false">ROUND(F105-E105,2)</f>
        <v>0</v>
      </c>
      <c r="H105" s="6" t="str">
        <f aca="false">IF(COUNTIFS(A$2:A$247,A105,C$2:C$247,C105)&gt;1,"DUPLICATE - REVIEW","OK")</f>
        <v>OK</v>
      </c>
      <c r="I105" s="6" t="str">
        <f aca="false">IF(D105&lt;&gt;"Regular","Off-Cycle - See Register",IF(H105="DUPLICATE - REVIEW","Duplicate Payment",IF(ABS(G105)&gt;0.01,"Gross Pay Discrepancy","Clear")))</f>
        <v>Clear</v>
      </c>
    </row>
    <row r="106" customFormat="false" ht="15" hidden="false" customHeight="false" outlineLevel="0" collapsed="false">
      <c r="A106" s="6" t="str">
        <f aca="false">'Payroll Register'!A106</f>
        <v>E1042</v>
      </c>
      <c r="B106" s="6" t="str">
        <f aca="false">'Payroll Register'!B106</f>
        <v>Employee 043</v>
      </c>
      <c r="C106" s="6" t="str">
        <f aca="false">'Payroll Register'!D106</f>
        <v>2026-06-08 to 2026-06-14</v>
      </c>
      <c r="D106" s="6" t="str">
        <f aca="false">'Payroll Register'!E106</f>
        <v>Regular</v>
      </c>
      <c r="E106" s="7" t="n">
        <f aca="false">ROUND('Payroll Register'!F106*'Payroll Register'!G106,2)</f>
        <v>701.45</v>
      </c>
      <c r="F106" s="7" t="n">
        <f aca="false">'Payroll Register'!H106</f>
        <v>701.45</v>
      </c>
      <c r="G106" s="7" t="n">
        <f aca="false">ROUND(F106-E106,2)</f>
        <v>0</v>
      </c>
      <c r="H106" s="6" t="str">
        <f aca="false">IF(COUNTIFS(A$2:A$247,A106,C$2:C$247,C106)&gt;1,"DUPLICATE - REVIEW","OK")</f>
        <v>OK</v>
      </c>
      <c r="I106" s="6" t="str">
        <f aca="false">IF(D106&lt;&gt;"Regular","Off-Cycle - See Register",IF(H106="DUPLICATE - REVIEW","Duplicate Payment",IF(ABS(G106)&gt;0.01,"Gross Pay Discrepancy","Clear")))</f>
        <v>Clear</v>
      </c>
    </row>
    <row r="107" customFormat="false" ht="15" hidden="false" customHeight="false" outlineLevel="0" collapsed="false">
      <c r="A107" s="6" t="str">
        <f aca="false">'Payroll Register'!A107</f>
        <v>E1043</v>
      </c>
      <c r="B107" s="6" t="str">
        <f aca="false">'Payroll Register'!B107</f>
        <v>Employee 044</v>
      </c>
      <c r="C107" s="6" t="str">
        <f aca="false">'Payroll Register'!D107</f>
        <v>2026-06-08 to 2026-06-14</v>
      </c>
      <c r="D107" s="6" t="str">
        <f aca="false">'Payroll Register'!E107</f>
        <v>Regular</v>
      </c>
      <c r="E107" s="7" t="n">
        <f aca="false">ROUND('Payroll Register'!F107*'Payroll Register'!G107,2)</f>
        <v>359.24</v>
      </c>
      <c r="F107" s="7" t="n">
        <f aca="false">'Payroll Register'!H107</f>
        <v>359.24</v>
      </c>
      <c r="G107" s="7" t="n">
        <f aca="false">ROUND(F107-E107,2)</f>
        <v>0</v>
      </c>
      <c r="H107" s="6" t="str">
        <f aca="false">IF(COUNTIFS(A$2:A$247,A107,C$2:C$247,C107)&gt;1,"DUPLICATE - REVIEW","OK")</f>
        <v>OK</v>
      </c>
      <c r="I107" s="6" t="str">
        <f aca="false">IF(D107&lt;&gt;"Regular","Off-Cycle - See Register",IF(H107="DUPLICATE - REVIEW","Duplicate Payment",IF(ABS(G107)&gt;0.01,"Gross Pay Discrepancy","Clear")))</f>
        <v>Clear</v>
      </c>
    </row>
    <row r="108" customFormat="false" ht="15" hidden="false" customHeight="false" outlineLevel="0" collapsed="false">
      <c r="A108" s="6" t="str">
        <f aca="false">'Payroll Register'!A108</f>
        <v>E1044</v>
      </c>
      <c r="B108" s="6" t="str">
        <f aca="false">'Payroll Register'!B108</f>
        <v>Employee 045</v>
      </c>
      <c r="C108" s="6" t="str">
        <f aca="false">'Payroll Register'!D108</f>
        <v>2026-06-08 to 2026-06-14</v>
      </c>
      <c r="D108" s="6" t="str">
        <f aca="false">'Payroll Register'!E108</f>
        <v>Regular</v>
      </c>
      <c r="E108" s="7" t="n">
        <f aca="false">ROUND('Payroll Register'!F108*'Payroll Register'!G108,2)</f>
        <v>753.23</v>
      </c>
      <c r="F108" s="7" t="n">
        <f aca="false">'Payroll Register'!H108</f>
        <v>753.23</v>
      </c>
      <c r="G108" s="7" t="n">
        <f aca="false">ROUND(F108-E108,2)</f>
        <v>0</v>
      </c>
      <c r="H108" s="6" t="str">
        <f aca="false">IF(COUNTIFS(A$2:A$247,A108,C$2:C$247,C108)&gt;1,"DUPLICATE - REVIEW","OK")</f>
        <v>OK</v>
      </c>
      <c r="I108" s="6" t="str">
        <f aca="false">IF(D108&lt;&gt;"Regular","Off-Cycle - See Register",IF(H108="DUPLICATE - REVIEW","Duplicate Payment",IF(ABS(G108)&gt;0.01,"Gross Pay Discrepancy","Clear")))</f>
        <v>Clear</v>
      </c>
    </row>
    <row r="109" customFormat="false" ht="15" hidden="false" customHeight="false" outlineLevel="0" collapsed="false">
      <c r="A109" s="6" t="str">
        <f aca="false">'Payroll Register'!A109</f>
        <v>E1045</v>
      </c>
      <c r="B109" s="6" t="str">
        <f aca="false">'Payroll Register'!B109</f>
        <v>Employee 046</v>
      </c>
      <c r="C109" s="6" t="str">
        <f aca="false">'Payroll Register'!D109</f>
        <v>2026-06-08 to 2026-06-14</v>
      </c>
      <c r="D109" s="6" t="str">
        <f aca="false">'Payroll Register'!E109</f>
        <v>Regular</v>
      </c>
      <c r="E109" s="7" t="n">
        <f aca="false">ROUND('Payroll Register'!F109*'Payroll Register'!G109,2)</f>
        <v>513.22</v>
      </c>
      <c r="F109" s="7" t="n">
        <f aca="false">'Payroll Register'!H109</f>
        <v>513.22</v>
      </c>
      <c r="G109" s="7" t="n">
        <f aca="false">ROUND(F109-E109,2)</f>
        <v>0</v>
      </c>
      <c r="H109" s="6" t="str">
        <f aca="false">IF(COUNTIFS(A$2:A$247,A109,C$2:C$247,C109)&gt;1,"DUPLICATE - REVIEW","OK")</f>
        <v>OK</v>
      </c>
      <c r="I109" s="6" t="str">
        <f aca="false">IF(D109&lt;&gt;"Regular","Off-Cycle - See Register",IF(H109="DUPLICATE - REVIEW","Duplicate Payment",IF(ABS(G109)&gt;0.01,"Gross Pay Discrepancy","Clear")))</f>
        <v>Clear</v>
      </c>
    </row>
    <row r="110" customFormat="false" ht="15" hidden="false" customHeight="false" outlineLevel="0" collapsed="false">
      <c r="A110" s="6" t="str">
        <f aca="false">'Payroll Register'!A110</f>
        <v>E1046</v>
      </c>
      <c r="B110" s="6" t="str">
        <f aca="false">'Payroll Register'!B110</f>
        <v>Employee 047</v>
      </c>
      <c r="C110" s="6" t="str">
        <f aca="false">'Payroll Register'!D110</f>
        <v>2026-06-08 to 2026-06-14</v>
      </c>
      <c r="D110" s="6" t="str">
        <f aca="false">'Payroll Register'!E110</f>
        <v>Regular</v>
      </c>
      <c r="E110" s="7" t="n">
        <f aca="false">ROUND('Payroll Register'!F110*'Payroll Register'!G110,2)</f>
        <v>531.72</v>
      </c>
      <c r="F110" s="7" t="n">
        <f aca="false">'Payroll Register'!H110</f>
        <v>531.72</v>
      </c>
      <c r="G110" s="7" t="n">
        <f aca="false">ROUND(F110-E110,2)</f>
        <v>0</v>
      </c>
      <c r="H110" s="6" t="str">
        <f aca="false">IF(COUNTIFS(A$2:A$247,A110,C$2:C$247,C110)&gt;1,"DUPLICATE - REVIEW","OK")</f>
        <v>OK</v>
      </c>
      <c r="I110" s="6" t="str">
        <f aca="false">IF(D110&lt;&gt;"Regular","Off-Cycle - See Register",IF(H110="DUPLICATE - REVIEW","Duplicate Payment",IF(ABS(G110)&gt;0.01,"Gross Pay Discrepancy","Clear")))</f>
        <v>Clear</v>
      </c>
    </row>
    <row r="111" customFormat="false" ht="15" hidden="false" customHeight="false" outlineLevel="0" collapsed="false">
      <c r="A111" s="6" t="str">
        <f aca="false">'Payroll Register'!A111</f>
        <v>E1047</v>
      </c>
      <c r="B111" s="6" t="str">
        <f aca="false">'Payroll Register'!B111</f>
        <v>Employee 048</v>
      </c>
      <c r="C111" s="6" t="str">
        <f aca="false">'Payroll Register'!D111</f>
        <v>2026-06-08 to 2026-06-14</v>
      </c>
      <c r="D111" s="6" t="str">
        <f aca="false">'Payroll Register'!E111</f>
        <v>Regular</v>
      </c>
      <c r="E111" s="7" t="n">
        <f aca="false">ROUND('Payroll Register'!F111*'Payroll Register'!G111,2)</f>
        <v>509.58</v>
      </c>
      <c r="F111" s="7" t="n">
        <f aca="false">'Payroll Register'!H111</f>
        <v>509.58</v>
      </c>
      <c r="G111" s="7" t="n">
        <f aca="false">ROUND(F111-E111,2)</f>
        <v>0</v>
      </c>
      <c r="H111" s="6" t="str">
        <f aca="false">IF(COUNTIFS(A$2:A$247,A111,C$2:C$247,C111)&gt;1,"DUPLICATE - REVIEW","OK")</f>
        <v>OK</v>
      </c>
      <c r="I111" s="6" t="str">
        <f aca="false">IF(D111&lt;&gt;"Regular","Off-Cycle - See Register",IF(H111="DUPLICATE - REVIEW","Duplicate Payment",IF(ABS(G111)&gt;0.01,"Gross Pay Discrepancy","Clear")))</f>
        <v>Clear</v>
      </c>
    </row>
    <row r="112" customFormat="false" ht="15" hidden="false" customHeight="false" outlineLevel="0" collapsed="false">
      <c r="A112" s="6" t="str">
        <f aca="false">'Payroll Register'!A112</f>
        <v>E1048</v>
      </c>
      <c r="B112" s="6" t="str">
        <f aca="false">'Payroll Register'!B112</f>
        <v>Employee 049</v>
      </c>
      <c r="C112" s="6" t="str">
        <f aca="false">'Payroll Register'!D112</f>
        <v>2026-06-08 to 2026-06-14</v>
      </c>
      <c r="D112" s="6" t="str">
        <f aca="false">'Payroll Register'!E112</f>
        <v>Regular</v>
      </c>
      <c r="E112" s="7" t="n">
        <f aca="false">ROUND('Payroll Register'!F112*'Payroll Register'!G112,2)</f>
        <v>715.18</v>
      </c>
      <c r="F112" s="7" t="n">
        <f aca="false">'Payroll Register'!H112</f>
        <v>715.18</v>
      </c>
      <c r="G112" s="7" t="n">
        <f aca="false">ROUND(F112-E112,2)</f>
        <v>0</v>
      </c>
      <c r="H112" s="6" t="str">
        <f aca="false">IF(COUNTIFS(A$2:A$247,A112,C$2:C$247,C112)&gt;1,"DUPLICATE - REVIEW","OK")</f>
        <v>OK</v>
      </c>
      <c r="I112" s="6" t="str">
        <f aca="false">IF(D112&lt;&gt;"Regular","Off-Cycle - See Register",IF(H112="DUPLICATE - REVIEW","Duplicate Payment",IF(ABS(G112)&gt;0.01,"Gross Pay Discrepancy","Clear")))</f>
        <v>Clear</v>
      </c>
    </row>
    <row r="113" customFormat="false" ht="15" hidden="false" customHeight="false" outlineLevel="0" collapsed="false">
      <c r="A113" s="6" t="str">
        <f aca="false">'Payroll Register'!A113</f>
        <v>E1049</v>
      </c>
      <c r="B113" s="6" t="str">
        <f aca="false">'Payroll Register'!B113</f>
        <v>Employee 050</v>
      </c>
      <c r="C113" s="6" t="str">
        <f aca="false">'Payroll Register'!D113</f>
        <v>2026-06-08 to 2026-06-14</v>
      </c>
      <c r="D113" s="6" t="str">
        <f aca="false">'Payroll Register'!E113</f>
        <v>Regular</v>
      </c>
      <c r="E113" s="7" t="n">
        <f aca="false">ROUND('Payroll Register'!F113*'Payroll Register'!G113,2)</f>
        <v>916.72</v>
      </c>
      <c r="F113" s="7" t="n">
        <f aca="false">'Payroll Register'!H113</f>
        <v>916.72</v>
      </c>
      <c r="G113" s="7" t="n">
        <f aca="false">ROUND(F113-E113,2)</f>
        <v>0</v>
      </c>
      <c r="H113" s="6" t="str">
        <f aca="false">IF(COUNTIFS(A$2:A$247,A113,C$2:C$247,C113)&gt;1,"DUPLICATE - REVIEW","OK")</f>
        <v>OK</v>
      </c>
      <c r="I113" s="6" t="str">
        <f aca="false">IF(D113&lt;&gt;"Regular","Off-Cycle - See Register",IF(H113="DUPLICATE - REVIEW","Duplicate Payment",IF(ABS(G113)&gt;0.01,"Gross Pay Discrepancy","Clear")))</f>
        <v>Clear</v>
      </c>
    </row>
    <row r="114" customFormat="false" ht="15" hidden="false" customHeight="false" outlineLevel="0" collapsed="false">
      <c r="A114" s="6" t="str">
        <f aca="false">'Payroll Register'!A114</f>
        <v>E1050</v>
      </c>
      <c r="B114" s="6" t="str">
        <f aca="false">'Payroll Register'!B114</f>
        <v>Employee 051</v>
      </c>
      <c r="C114" s="6" t="str">
        <f aca="false">'Payroll Register'!D114</f>
        <v>2026-06-08 to 2026-06-14</v>
      </c>
      <c r="D114" s="6" t="str">
        <f aca="false">'Payroll Register'!E114</f>
        <v>Regular</v>
      </c>
      <c r="E114" s="7" t="n">
        <f aca="false">ROUND('Payroll Register'!F114*'Payroll Register'!G114,2)</f>
        <v>521.55</v>
      </c>
      <c r="F114" s="7" t="n">
        <f aca="false">'Payroll Register'!H114</f>
        <v>521.55</v>
      </c>
      <c r="G114" s="7" t="n">
        <f aca="false">ROUND(F114-E114,2)</f>
        <v>0</v>
      </c>
      <c r="H114" s="6" t="str">
        <f aca="false">IF(COUNTIFS(A$2:A$247,A114,C$2:C$247,C114)&gt;1,"DUPLICATE - REVIEW","OK")</f>
        <v>OK</v>
      </c>
      <c r="I114" s="6" t="str">
        <f aca="false">IF(D114&lt;&gt;"Regular","Off-Cycle - See Register",IF(H114="DUPLICATE - REVIEW","Duplicate Payment",IF(ABS(G114)&gt;0.01,"Gross Pay Discrepancy","Clear")))</f>
        <v>Clear</v>
      </c>
    </row>
    <row r="115" customFormat="false" ht="15" hidden="false" customHeight="false" outlineLevel="0" collapsed="false">
      <c r="A115" s="6" t="str">
        <f aca="false">'Payroll Register'!A115</f>
        <v>E1051</v>
      </c>
      <c r="B115" s="6" t="str">
        <f aca="false">'Payroll Register'!B115</f>
        <v>Employee 052</v>
      </c>
      <c r="C115" s="6" t="str">
        <f aca="false">'Payroll Register'!D115</f>
        <v>2026-06-08 to 2026-06-14</v>
      </c>
      <c r="D115" s="6" t="str">
        <f aca="false">'Payroll Register'!E115</f>
        <v>Regular</v>
      </c>
      <c r="E115" s="7" t="n">
        <f aca="false">ROUND('Payroll Register'!F115*'Payroll Register'!G115,2)</f>
        <v>508.02</v>
      </c>
      <c r="F115" s="7" t="n">
        <f aca="false">'Payroll Register'!H115</f>
        <v>508.02</v>
      </c>
      <c r="G115" s="7" t="n">
        <f aca="false">ROUND(F115-E115,2)</f>
        <v>0</v>
      </c>
      <c r="H115" s="6" t="str">
        <f aca="false">IF(COUNTIFS(A$2:A$247,A115,C$2:C$247,C115)&gt;1,"DUPLICATE - REVIEW","OK")</f>
        <v>OK</v>
      </c>
      <c r="I115" s="6" t="str">
        <f aca="false">IF(D115&lt;&gt;"Regular","Off-Cycle - See Register",IF(H115="DUPLICATE - REVIEW","Duplicate Payment",IF(ABS(G115)&gt;0.01,"Gross Pay Discrepancy","Clear")))</f>
        <v>Clear</v>
      </c>
    </row>
    <row r="116" customFormat="false" ht="15" hidden="false" customHeight="false" outlineLevel="0" collapsed="false">
      <c r="A116" s="6" t="str">
        <f aca="false">'Payroll Register'!A116</f>
        <v>E1052</v>
      </c>
      <c r="B116" s="6" t="str">
        <f aca="false">'Payroll Register'!B116</f>
        <v>Employee 053</v>
      </c>
      <c r="C116" s="6" t="str">
        <f aca="false">'Payroll Register'!D116</f>
        <v>2026-06-08 to 2026-06-14</v>
      </c>
      <c r="D116" s="6" t="str">
        <f aca="false">'Payroll Register'!E116</f>
        <v>Regular</v>
      </c>
      <c r="E116" s="7" t="n">
        <f aca="false">ROUND('Payroll Register'!F116*'Payroll Register'!G116,2)</f>
        <v>667.4</v>
      </c>
      <c r="F116" s="7" t="n">
        <f aca="false">'Payroll Register'!H116</f>
        <v>667.4</v>
      </c>
      <c r="G116" s="7" t="n">
        <f aca="false">ROUND(F116-E116,2)</f>
        <v>0</v>
      </c>
      <c r="H116" s="6" t="str">
        <f aca="false">IF(COUNTIFS(A$2:A$247,A116,C$2:C$247,C116)&gt;1,"DUPLICATE - REVIEW","OK")</f>
        <v>OK</v>
      </c>
      <c r="I116" s="6" t="str">
        <f aca="false">IF(D116&lt;&gt;"Regular","Off-Cycle - See Register",IF(H116="DUPLICATE - REVIEW","Duplicate Payment",IF(ABS(G116)&gt;0.01,"Gross Pay Discrepancy","Clear")))</f>
        <v>Clear</v>
      </c>
    </row>
    <row r="117" customFormat="false" ht="15" hidden="false" customHeight="false" outlineLevel="0" collapsed="false">
      <c r="A117" s="6" t="str">
        <f aca="false">'Payroll Register'!A117</f>
        <v>E1053</v>
      </c>
      <c r="B117" s="6" t="str">
        <f aca="false">'Payroll Register'!B117</f>
        <v>Employee 054</v>
      </c>
      <c r="C117" s="6" t="str">
        <f aca="false">'Payroll Register'!D117</f>
        <v>2026-06-08 to 2026-06-14</v>
      </c>
      <c r="D117" s="6" t="str">
        <f aca="false">'Payroll Register'!E117</f>
        <v>Regular</v>
      </c>
      <c r="E117" s="7" t="n">
        <f aca="false">ROUND('Payroll Register'!F117*'Payroll Register'!G117,2)</f>
        <v>530.09</v>
      </c>
      <c r="F117" s="7" t="n">
        <f aca="false">'Payroll Register'!H117</f>
        <v>530.09</v>
      </c>
      <c r="G117" s="7" t="n">
        <f aca="false">ROUND(F117-E117,2)</f>
        <v>0</v>
      </c>
      <c r="H117" s="6" t="str">
        <f aca="false">IF(COUNTIFS(A$2:A$247,A117,C$2:C$247,C117)&gt;1,"DUPLICATE - REVIEW","OK")</f>
        <v>OK</v>
      </c>
      <c r="I117" s="6" t="str">
        <f aca="false">IF(D117&lt;&gt;"Regular","Off-Cycle - See Register",IF(H117="DUPLICATE - REVIEW","Duplicate Payment",IF(ABS(G117)&gt;0.01,"Gross Pay Discrepancy","Clear")))</f>
        <v>Clear</v>
      </c>
    </row>
    <row r="118" customFormat="false" ht="15" hidden="false" customHeight="false" outlineLevel="0" collapsed="false">
      <c r="A118" s="6" t="str">
        <f aca="false">'Payroll Register'!A118</f>
        <v>E1054</v>
      </c>
      <c r="B118" s="6" t="str">
        <f aca="false">'Payroll Register'!B118</f>
        <v>Employee 055</v>
      </c>
      <c r="C118" s="6" t="str">
        <f aca="false">'Payroll Register'!D118</f>
        <v>2026-06-08 to 2026-06-14</v>
      </c>
      <c r="D118" s="6" t="str">
        <f aca="false">'Payroll Register'!E118</f>
        <v>Regular</v>
      </c>
      <c r="E118" s="7" t="n">
        <f aca="false">ROUND('Payroll Register'!F118*'Payroll Register'!G118,2)</f>
        <v>974.79</v>
      </c>
      <c r="F118" s="7" t="n">
        <f aca="false">'Payroll Register'!H118</f>
        <v>974.79</v>
      </c>
      <c r="G118" s="7" t="n">
        <f aca="false">ROUND(F118-E118,2)</f>
        <v>0</v>
      </c>
      <c r="H118" s="6" t="str">
        <f aca="false">IF(COUNTIFS(A$2:A$247,A118,C$2:C$247,C118)&gt;1,"DUPLICATE - REVIEW","OK")</f>
        <v>OK</v>
      </c>
      <c r="I118" s="6" t="str">
        <f aca="false">IF(D118&lt;&gt;"Regular","Off-Cycle - See Register",IF(H118="DUPLICATE - REVIEW","Duplicate Payment",IF(ABS(G118)&gt;0.01,"Gross Pay Discrepancy","Clear")))</f>
        <v>Clear</v>
      </c>
    </row>
    <row r="119" customFormat="false" ht="15" hidden="false" customHeight="false" outlineLevel="0" collapsed="false">
      <c r="A119" s="6" t="str">
        <f aca="false">'Payroll Register'!A119</f>
        <v>E1055</v>
      </c>
      <c r="B119" s="6" t="str">
        <f aca="false">'Payroll Register'!B119</f>
        <v>Employee 056</v>
      </c>
      <c r="C119" s="6" t="str">
        <f aca="false">'Payroll Register'!D119</f>
        <v>2026-06-08 to 2026-06-14</v>
      </c>
      <c r="D119" s="6" t="str">
        <f aca="false">'Payroll Register'!E119</f>
        <v>Regular</v>
      </c>
      <c r="E119" s="7" t="n">
        <f aca="false">ROUND('Payroll Register'!F119*'Payroll Register'!G119,2)</f>
        <v>1018.05</v>
      </c>
      <c r="F119" s="7" t="n">
        <f aca="false">'Payroll Register'!H119</f>
        <v>1018.05</v>
      </c>
      <c r="G119" s="7" t="n">
        <f aca="false">ROUND(F119-E119,2)</f>
        <v>0</v>
      </c>
      <c r="H119" s="6" t="str">
        <f aca="false">IF(COUNTIFS(A$2:A$247,A119,C$2:C$247,C119)&gt;1,"DUPLICATE - REVIEW","OK")</f>
        <v>OK</v>
      </c>
      <c r="I119" s="6" t="str">
        <f aca="false">IF(D119&lt;&gt;"Regular","Off-Cycle - See Register",IF(H119="DUPLICATE - REVIEW","Duplicate Payment",IF(ABS(G119)&gt;0.01,"Gross Pay Discrepancy","Clear")))</f>
        <v>Clear</v>
      </c>
    </row>
    <row r="120" customFormat="false" ht="15" hidden="false" customHeight="false" outlineLevel="0" collapsed="false">
      <c r="A120" s="6" t="str">
        <f aca="false">'Payroll Register'!A120</f>
        <v>E1056</v>
      </c>
      <c r="B120" s="6" t="str">
        <f aca="false">'Payroll Register'!B120</f>
        <v>Employee 057</v>
      </c>
      <c r="C120" s="6" t="str">
        <f aca="false">'Payroll Register'!D120</f>
        <v>2026-06-08 to 2026-06-14</v>
      </c>
      <c r="D120" s="6" t="str">
        <f aca="false">'Payroll Register'!E120</f>
        <v>Regular</v>
      </c>
      <c r="E120" s="7" t="n">
        <f aca="false">ROUND('Payroll Register'!F120*'Payroll Register'!G120,2)</f>
        <v>478.82</v>
      </c>
      <c r="F120" s="7" t="n">
        <f aca="false">'Payroll Register'!H120</f>
        <v>478.82</v>
      </c>
      <c r="G120" s="7" t="n">
        <f aca="false">ROUND(F120-E120,2)</f>
        <v>0</v>
      </c>
      <c r="H120" s="6" t="str">
        <f aca="false">IF(COUNTIFS(A$2:A$247,A120,C$2:C$247,C120)&gt;1,"DUPLICATE - REVIEW","OK")</f>
        <v>OK</v>
      </c>
      <c r="I120" s="6" t="str">
        <f aca="false">IF(D120&lt;&gt;"Regular","Off-Cycle - See Register",IF(H120="DUPLICATE - REVIEW","Duplicate Payment",IF(ABS(G120)&gt;0.01,"Gross Pay Discrepancy","Clear")))</f>
        <v>Clear</v>
      </c>
    </row>
    <row r="121" customFormat="false" ht="15" hidden="false" customHeight="false" outlineLevel="0" collapsed="false">
      <c r="A121" s="6" t="str">
        <f aca="false">'Payroll Register'!A121</f>
        <v>E1057</v>
      </c>
      <c r="B121" s="6" t="str">
        <f aca="false">'Payroll Register'!B121</f>
        <v>Employee 058</v>
      </c>
      <c r="C121" s="6" t="str">
        <f aca="false">'Payroll Register'!D121</f>
        <v>2026-06-08 to 2026-06-14</v>
      </c>
      <c r="D121" s="6" t="str">
        <f aca="false">'Payroll Register'!E121</f>
        <v>Regular</v>
      </c>
      <c r="E121" s="7" t="n">
        <f aca="false">ROUND('Payroll Register'!F121*'Payroll Register'!G121,2)</f>
        <v>651.7</v>
      </c>
      <c r="F121" s="7" t="n">
        <f aca="false">'Payroll Register'!H121</f>
        <v>651.7</v>
      </c>
      <c r="G121" s="7" t="n">
        <f aca="false">ROUND(F121-E121,2)</f>
        <v>0</v>
      </c>
      <c r="H121" s="6" t="str">
        <f aca="false">IF(COUNTIFS(A$2:A$247,A121,C$2:C$247,C121)&gt;1,"DUPLICATE - REVIEW","OK")</f>
        <v>OK</v>
      </c>
      <c r="I121" s="6" t="str">
        <f aca="false">IF(D121&lt;&gt;"Regular","Off-Cycle - See Register",IF(H121="DUPLICATE - REVIEW","Duplicate Payment",IF(ABS(G121)&gt;0.01,"Gross Pay Discrepancy","Clear")))</f>
        <v>Clear</v>
      </c>
    </row>
    <row r="122" customFormat="false" ht="15" hidden="false" customHeight="false" outlineLevel="0" collapsed="false">
      <c r="A122" s="6" t="str">
        <f aca="false">'Payroll Register'!A122</f>
        <v>E1058</v>
      </c>
      <c r="B122" s="6" t="str">
        <f aca="false">'Payroll Register'!B122</f>
        <v>Employee 059</v>
      </c>
      <c r="C122" s="6" t="str">
        <f aca="false">'Payroll Register'!D122</f>
        <v>2026-06-08 to 2026-06-14</v>
      </c>
      <c r="D122" s="6" t="str">
        <f aca="false">'Payroll Register'!E122</f>
        <v>Regular</v>
      </c>
      <c r="E122" s="7" t="n">
        <f aca="false">ROUND('Payroll Register'!F122*'Payroll Register'!G122,2)</f>
        <v>798.04</v>
      </c>
      <c r="F122" s="7" t="n">
        <f aca="false">'Payroll Register'!H122</f>
        <v>798.04</v>
      </c>
      <c r="G122" s="7" t="n">
        <f aca="false">ROUND(F122-E122,2)</f>
        <v>0</v>
      </c>
      <c r="H122" s="6" t="str">
        <f aca="false">IF(COUNTIFS(A$2:A$247,A122,C$2:C$247,C122)&gt;1,"DUPLICATE - REVIEW","OK")</f>
        <v>OK</v>
      </c>
      <c r="I122" s="6" t="str">
        <f aca="false">IF(D122&lt;&gt;"Regular","Off-Cycle - See Register",IF(H122="DUPLICATE - REVIEW","Duplicate Payment",IF(ABS(G122)&gt;0.01,"Gross Pay Discrepancy","Clear")))</f>
        <v>Clear</v>
      </c>
    </row>
    <row r="123" customFormat="false" ht="15" hidden="false" customHeight="false" outlineLevel="0" collapsed="false">
      <c r="A123" s="6" t="str">
        <f aca="false">'Payroll Register'!A123</f>
        <v>E1059</v>
      </c>
      <c r="B123" s="6" t="str">
        <f aca="false">'Payroll Register'!B123</f>
        <v>Employee 060</v>
      </c>
      <c r="C123" s="6" t="str">
        <f aca="false">'Payroll Register'!D123</f>
        <v>2026-06-08 to 2026-06-14</v>
      </c>
      <c r="D123" s="6" t="str">
        <f aca="false">'Payroll Register'!E123</f>
        <v>Regular</v>
      </c>
      <c r="E123" s="7" t="n">
        <f aca="false">ROUND('Payroll Register'!F123*'Payroll Register'!G123,2)</f>
        <v>756.78</v>
      </c>
      <c r="F123" s="7" t="n">
        <f aca="false">'Payroll Register'!H123</f>
        <v>756.78</v>
      </c>
      <c r="G123" s="7" t="n">
        <f aca="false">ROUND(F123-E123,2)</f>
        <v>0</v>
      </c>
      <c r="H123" s="6" t="str">
        <f aca="false">IF(COUNTIFS(A$2:A$247,A123,C$2:C$247,C123)&gt;1,"DUPLICATE - REVIEW","OK")</f>
        <v>OK</v>
      </c>
      <c r="I123" s="6" t="str">
        <f aca="false">IF(D123&lt;&gt;"Regular","Off-Cycle - See Register",IF(H123="DUPLICATE - REVIEW","Duplicate Payment",IF(ABS(G123)&gt;0.01,"Gross Pay Discrepancy","Clear")))</f>
        <v>Clear</v>
      </c>
    </row>
    <row r="124" customFormat="false" ht="15" hidden="false" customHeight="false" outlineLevel="0" collapsed="false">
      <c r="A124" s="6" t="str">
        <f aca="false">'Payroll Register'!A124</f>
        <v>E1000</v>
      </c>
      <c r="B124" s="6" t="str">
        <f aca="false">'Payroll Register'!B124</f>
        <v>Employee 001</v>
      </c>
      <c r="C124" s="6" t="str">
        <f aca="false">'Payroll Register'!D124</f>
        <v>2026-06-15 to 2026-06-21</v>
      </c>
      <c r="D124" s="6" t="str">
        <f aca="false">'Payroll Register'!E124</f>
        <v>Regular</v>
      </c>
      <c r="E124" s="7" t="n">
        <f aca="false">ROUND('Payroll Register'!F124*'Payroll Register'!G124,2)</f>
        <v>441.35</v>
      </c>
      <c r="F124" s="7" t="n">
        <f aca="false">'Payroll Register'!H124</f>
        <v>441.35</v>
      </c>
      <c r="G124" s="7" t="n">
        <f aca="false">ROUND(F124-E124,2)</f>
        <v>0</v>
      </c>
      <c r="H124" s="6" t="str">
        <f aca="false">IF(COUNTIFS(A$2:A$247,A124,C$2:C$247,C124)&gt;1,"DUPLICATE - REVIEW","OK")</f>
        <v>OK</v>
      </c>
      <c r="I124" s="6" t="str">
        <f aca="false">IF(D124&lt;&gt;"Regular","Off-Cycle - See Register",IF(H124="DUPLICATE - REVIEW","Duplicate Payment",IF(ABS(G124)&gt;0.01,"Gross Pay Discrepancy","Clear")))</f>
        <v>Clear</v>
      </c>
    </row>
    <row r="125" customFormat="false" ht="15" hidden="false" customHeight="false" outlineLevel="0" collapsed="false">
      <c r="A125" s="6" t="str">
        <f aca="false">'Payroll Register'!A125</f>
        <v>E1001</v>
      </c>
      <c r="B125" s="6" t="str">
        <f aca="false">'Payroll Register'!B125</f>
        <v>Employee 002</v>
      </c>
      <c r="C125" s="6" t="str">
        <f aca="false">'Payroll Register'!D125</f>
        <v>2026-06-15 to 2026-06-21</v>
      </c>
      <c r="D125" s="6" t="str">
        <f aca="false">'Payroll Register'!E125</f>
        <v>Regular</v>
      </c>
      <c r="E125" s="7" t="n">
        <f aca="false">ROUND('Payroll Register'!F125*'Payroll Register'!G125,2)</f>
        <v>772.33</v>
      </c>
      <c r="F125" s="7" t="n">
        <f aca="false">'Payroll Register'!H125</f>
        <v>772.33</v>
      </c>
      <c r="G125" s="7" t="n">
        <f aca="false">ROUND(F125-E125,2)</f>
        <v>0</v>
      </c>
      <c r="H125" s="6" t="str">
        <f aca="false">IF(COUNTIFS(A$2:A$247,A125,C$2:C$247,C125)&gt;1,"DUPLICATE - REVIEW","OK")</f>
        <v>OK</v>
      </c>
      <c r="I125" s="6" t="str">
        <f aca="false">IF(D125&lt;&gt;"Regular","Off-Cycle - See Register",IF(H125="DUPLICATE - REVIEW","Duplicate Payment",IF(ABS(G125)&gt;0.01,"Gross Pay Discrepancy","Clear")))</f>
        <v>Clear</v>
      </c>
    </row>
    <row r="126" customFormat="false" ht="15" hidden="false" customHeight="false" outlineLevel="0" collapsed="false">
      <c r="A126" s="6" t="str">
        <f aca="false">'Payroll Register'!A126</f>
        <v>E1002</v>
      </c>
      <c r="B126" s="6" t="str">
        <f aca="false">'Payroll Register'!B126</f>
        <v>Employee 003</v>
      </c>
      <c r="C126" s="6" t="str">
        <f aca="false">'Payroll Register'!D126</f>
        <v>2026-06-15 to 2026-06-21</v>
      </c>
      <c r="D126" s="6" t="str">
        <f aca="false">'Payroll Register'!E126</f>
        <v>Regular</v>
      </c>
      <c r="E126" s="7" t="n">
        <f aca="false">ROUND('Payroll Register'!F126*'Payroll Register'!G126,2)</f>
        <v>496.69</v>
      </c>
      <c r="F126" s="7" t="n">
        <f aca="false">'Payroll Register'!H126</f>
        <v>496.69</v>
      </c>
      <c r="G126" s="7" t="n">
        <f aca="false">ROUND(F126-E126,2)</f>
        <v>0</v>
      </c>
      <c r="H126" s="6" t="str">
        <f aca="false">IF(COUNTIFS(A$2:A$247,A126,C$2:C$247,C126)&gt;1,"DUPLICATE - REVIEW","OK")</f>
        <v>OK</v>
      </c>
      <c r="I126" s="6" t="str">
        <f aca="false">IF(D126&lt;&gt;"Regular","Off-Cycle - See Register",IF(H126="DUPLICATE - REVIEW","Duplicate Payment",IF(ABS(G126)&gt;0.01,"Gross Pay Discrepancy","Clear")))</f>
        <v>Clear</v>
      </c>
    </row>
    <row r="127" customFormat="false" ht="15" hidden="false" customHeight="false" outlineLevel="0" collapsed="false">
      <c r="A127" s="6" t="str">
        <f aca="false">'Payroll Register'!A127</f>
        <v>E1003</v>
      </c>
      <c r="B127" s="6" t="str">
        <f aca="false">'Payroll Register'!B127</f>
        <v>Employee 004</v>
      </c>
      <c r="C127" s="6" t="str">
        <f aca="false">'Payroll Register'!D127</f>
        <v>2026-06-15 to 2026-06-21</v>
      </c>
      <c r="D127" s="6" t="str">
        <f aca="false">'Payroll Register'!E127</f>
        <v>Regular</v>
      </c>
      <c r="E127" s="7" t="n">
        <f aca="false">ROUND('Payroll Register'!F127*'Payroll Register'!G127,2)</f>
        <v>718.18</v>
      </c>
      <c r="F127" s="7" t="n">
        <f aca="false">'Payroll Register'!H127</f>
        <v>718.18</v>
      </c>
      <c r="G127" s="7" t="n">
        <f aca="false">ROUND(F127-E127,2)</f>
        <v>0</v>
      </c>
      <c r="H127" s="6" t="str">
        <f aca="false">IF(COUNTIFS(A$2:A$247,A127,C$2:C$247,C127)&gt;1,"DUPLICATE - REVIEW","OK")</f>
        <v>OK</v>
      </c>
      <c r="I127" s="6" t="str">
        <f aca="false">IF(D127&lt;&gt;"Regular","Off-Cycle - See Register",IF(H127="DUPLICATE - REVIEW","Duplicate Payment",IF(ABS(G127)&gt;0.01,"Gross Pay Discrepancy","Clear")))</f>
        <v>Clear</v>
      </c>
    </row>
    <row r="128" customFormat="false" ht="15" hidden="false" customHeight="false" outlineLevel="0" collapsed="false">
      <c r="A128" s="6" t="str">
        <f aca="false">'Payroll Register'!A128</f>
        <v>E1004</v>
      </c>
      <c r="B128" s="6" t="str">
        <f aca="false">'Payroll Register'!B128</f>
        <v>Employee 005</v>
      </c>
      <c r="C128" s="6" t="str">
        <f aca="false">'Payroll Register'!D128</f>
        <v>2026-06-15 to 2026-06-21</v>
      </c>
      <c r="D128" s="6" t="str">
        <f aca="false">'Payroll Register'!E128</f>
        <v>Regular</v>
      </c>
      <c r="E128" s="7" t="n">
        <f aca="false">ROUND('Payroll Register'!F128*'Payroll Register'!G128,2)</f>
        <v>504.37</v>
      </c>
      <c r="F128" s="7" t="n">
        <f aca="false">'Payroll Register'!H128</f>
        <v>504.37</v>
      </c>
      <c r="G128" s="7" t="n">
        <f aca="false">ROUND(F128-E128,2)</f>
        <v>0</v>
      </c>
      <c r="H128" s="6" t="str">
        <f aca="false">IF(COUNTIFS(A$2:A$247,A128,C$2:C$247,C128)&gt;1,"DUPLICATE - REVIEW","OK")</f>
        <v>OK</v>
      </c>
      <c r="I128" s="6" t="str">
        <f aca="false">IF(D128&lt;&gt;"Regular","Off-Cycle - See Register",IF(H128="DUPLICATE - REVIEW","Duplicate Payment",IF(ABS(G128)&gt;0.01,"Gross Pay Discrepancy","Clear")))</f>
        <v>Clear</v>
      </c>
    </row>
    <row r="129" customFormat="false" ht="15" hidden="false" customHeight="false" outlineLevel="0" collapsed="false">
      <c r="A129" s="6" t="str">
        <f aca="false">'Payroll Register'!A129</f>
        <v>E1005</v>
      </c>
      <c r="B129" s="6" t="str">
        <f aca="false">'Payroll Register'!B129</f>
        <v>Employee 006</v>
      </c>
      <c r="C129" s="6" t="str">
        <f aca="false">'Payroll Register'!D129</f>
        <v>2026-06-15 to 2026-06-21</v>
      </c>
      <c r="D129" s="6" t="str">
        <f aca="false">'Payroll Register'!E129</f>
        <v>Regular</v>
      </c>
      <c r="E129" s="7" t="n">
        <f aca="false">ROUND('Payroll Register'!F129*'Payroll Register'!G129,2)</f>
        <v>867.25</v>
      </c>
      <c r="F129" s="7" t="n">
        <f aca="false">'Payroll Register'!H129</f>
        <v>867.25</v>
      </c>
      <c r="G129" s="7" t="n">
        <f aca="false">ROUND(F129-E129,2)</f>
        <v>0</v>
      </c>
      <c r="H129" s="6" t="str">
        <f aca="false">IF(COUNTIFS(A$2:A$247,A129,C$2:C$247,C129)&gt;1,"DUPLICATE - REVIEW","OK")</f>
        <v>OK</v>
      </c>
      <c r="I129" s="6" t="str">
        <f aca="false">IF(D129&lt;&gt;"Regular","Off-Cycle - See Register",IF(H129="DUPLICATE - REVIEW","Duplicate Payment",IF(ABS(G129)&gt;0.01,"Gross Pay Discrepancy","Clear")))</f>
        <v>Clear</v>
      </c>
    </row>
    <row r="130" customFormat="false" ht="15" hidden="false" customHeight="false" outlineLevel="0" collapsed="false">
      <c r="A130" s="6" t="str">
        <f aca="false">'Payroll Register'!A130</f>
        <v>E1006</v>
      </c>
      <c r="B130" s="6" t="str">
        <f aca="false">'Payroll Register'!B130</f>
        <v>Employee 007</v>
      </c>
      <c r="C130" s="6" t="str">
        <f aca="false">'Payroll Register'!D130</f>
        <v>2026-06-15 to 2026-06-21</v>
      </c>
      <c r="D130" s="6" t="str">
        <f aca="false">'Payroll Register'!E130</f>
        <v>Regular</v>
      </c>
      <c r="E130" s="7" t="n">
        <f aca="false">ROUND('Payroll Register'!F130*'Payroll Register'!G130,2)</f>
        <v>439.89</v>
      </c>
      <c r="F130" s="7" t="n">
        <f aca="false">'Payroll Register'!H130</f>
        <v>439.89</v>
      </c>
      <c r="G130" s="7" t="n">
        <f aca="false">ROUND(F130-E130,2)</f>
        <v>0</v>
      </c>
      <c r="H130" s="6" t="str">
        <f aca="false">IF(COUNTIFS(A$2:A$247,A130,C$2:C$247,C130)&gt;1,"DUPLICATE - REVIEW","OK")</f>
        <v>OK</v>
      </c>
      <c r="I130" s="6" t="str">
        <f aca="false">IF(D130&lt;&gt;"Regular","Off-Cycle - See Register",IF(H130="DUPLICATE - REVIEW","Duplicate Payment",IF(ABS(G130)&gt;0.01,"Gross Pay Discrepancy","Clear")))</f>
        <v>Clear</v>
      </c>
    </row>
    <row r="131" customFormat="false" ht="15" hidden="false" customHeight="false" outlineLevel="0" collapsed="false">
      <c r="A131" s="6" t="str">
        <f aca="false">'Payroll Register'!A131</f>
        <v>E1007</v>
      </c>
      <c r="B131" s="6" t="str">
        <f aca="false">'Payroll Register'!B131</f>
        <v>Employee 008</v>
      </c>
      <c r="C131" s="6" t="str">
        <f aca="false">'Payroll Register'!D131</f>
        <v>2026-06-15 to 2026-06-21</v>
      </c>
      <c r="D131" s="6" t="str">
        <f aca="false">'Payroll Register'!E131</f>
        <v>Regular</v>
      </c>
      <c r="E131" s="7" t="n">
        <f aca="false">ROUND('Payroll Register'!F131*'Payroll Register'!G131,2)</f>
        <v>564.4</v>
      </c>
      <c r="F131" s="7" t="n">
        <f aca="false">'Payroll Register'!H131</f>
        <v>564.4</v>
      </c>
      <c r="G131" s="7" t="n">
        <f aca="false">ROUND(F131-E131,2)</f>
        <v>0</v>
      </c>
      <c r="H131" s="6" t="str">
        <f aca="false">IF(COUNTIFS(A$2:A$247,A131,C$2:C$247,C131)&gt;1,"DUPLICATE - REVIEW","OK")</f>
        <v>OK</v>
      </c>
      <c r="I131" s="6" t="str">
        <f aca="false">IF(D131&lt;&gt;"Regular","Off-Cycle - See Register",IF(H131="DUPLICATE - REVIEW","Duplicate Payment",IF(ABS(G131)&gt;0.01,"Gross Pay Discrepancy","Clear")))</f>
        <v>Clear</v>
      </c>
    </row>
    <row r="132" customFormat="false" ht="15" hidden="false" customHeight="false" outlineLevel="0" collapsed="false">
      <c r="A132" s="6" t="str">
        <f aca="false">'Payroll Register'!A132</f>
        <v>E1008</v>
      </c>
      <c r="B132" s="6" t="str">
        <f aca="false">'Payroll Register'!B132</f>
        <v>Employee 009</v>
      </c>
      <c r="C132" s="6" t="str">
        <f aca="false">'Payroll Register'!D132</f>
        <v>2026-06-15 to 2026-06-21</v>
      </c>
      <c r="D132" s="6" t="str">
        <f aca="false">'Payroll Register'!E132</f>
        <v>Regular</v>
      </c>
      <c r="E132" s="7" t="n">
        <f aca="false">ROUND('Payroll Register'!F132*'Payroll Register'!G132,2)</f>
        <v>594.25</v>
      </c>
      <c r="F132" s="7" t="n">
        <f aca="false">'Payroll Register'!H132</f>
        <v>624.25</v>
      </c>
      <c r="G132" s="7" t="n">
        <f aca="false">ROUND(F132-E132,2)</f>
        <v>30</v>
      </c>
      <c r="H132" s="6" t="str">
        <f aca="false">IF(COUNTIFS(A$2:A$247,A132,C$2:C$247,C132)&gt;1,"DUPLICATE - REVIEW","OK")</f>
        <v>OK</v>
      </c>
      <c r="I132" s="6" t="str">
        <f aca="false">IF(D132&lt;&gt;"Regular","Off-Cycle - See Register",IF(H132="DUPLICATE - REVIEW","Duplicate Payment",IF(ABS(G132)&gt;0.01,"Gross Pay Discrepancy","Clear")))</f>
        <v>Gross Pay Discrepancy</v>
      </c>
    </row>
    <row r="133" customFormat="false" ht="15" hidden="false" customHeight="false" outlineLevel="0" collapsed="false">
      <c r="A133" s="6" t="str">
        <f aca="false">'Payroll Register'!A133</f>
        <v>E1009</v>
      </c>
      <c r="B133" s="6" t="str">
        <f aca="false">'Payroll Register'!B133</f>
        <v>Employee 010</v>
      </c>
      <c r="C133" s="6" t="str">
        <f aca="false">'Payroll Register'!D133</f>
        <v>2026-06-15 to 2026-06-21</v>
      </c>
      <c r="D133" s="6" t="str">
        <f aca="false">'Payroll Register'!E133</f>
        <v>Regular</v>
      </c>
      <c r="E133" s="7" t="n">
        <f aca="false">ROUND('Payroll Register'!F133*'Payroll Register'!G133,2)</f>
        <v>483.3</v>
      </c>
      <c r="F133" s="7" t="n">
        <f aca="false">'Payroll Register'!H133</f>
        <v>483.3</v>
      </c>
      <c r="G133" s="7" t="n">
        <f aca="false">ROUND(F133-E133,2)</f>
        <v>0</v>
      </c>
      <c r="H133" s="6" t="str">
        <f aca="false">IF(COUNTIFS(A$2:A$247,A133,C$2:C$247,C133)&gt;1,"DUPLICATE - REVIEW","OK")</f>
        <v>OK</v>
      </c>
      <c r="I133" s="6" t="str">
        <f aca="false">IF(D133&lt;&gt;"Regular","Off-Cycle - See Register",IF(H133="DUPLICATE - REVIEW","Duplicate Payment",IF(ABS(G133)&gt;0.01,"Gross Pay Discrepancy","Clear")))</f>
        <v>Clear</v>
      </c>
    </row>
    <row r="134" customFormat="false" ht="15" hidden="false" customHeight="false" outlineLevel="0" collapsed="false">
      <c r="A134" s="6" t="str">
        <f aca="false">'Payroll Register'!A134</f>
        <v>E1010</v>
      </c>
      <c r="B134" s="6" t="str">
        <f aca="false">'Payroll Register'!B134</f>
        <v>Employee 011</v>
      </c>
      <c r="C134" s="6" t="str">
        <f aca="false">'Payroll Register'!D134</f>
        <v>2026-06-15 to 2026-06-21</v>
      </c>
      <c r="D134" s="6" t="str">
        <f aca="false">'Payroll Register'!E134</f>
        <v>Regular</v>
      </c>
      <c r="E134" s="7" t="n">
        <f aca="false">ROUND('Payroll Register'!F134*'Payroll Register'!G134,2)</f>
        <v>379.15</v>
      </c>
      <c r="F134" s="7" t="n">
        <f aca="false">'Payroll Register'!H134</f>
        <v>379.15</v>
      </c>
      <c r="G134" s="7" t="n">
        <f aca="false">ROUND(F134-E134,2)</f>
        <v>0</v>
      </c>
      <c r="H134" s="6" t="str">
        <f aca="false">IF(COUNTIFS(A$2:A$247,A134,C$2:C$247,C134)&gt;1,"DUPLICATE - REVIEW","OK")</f>
        <v>OK</v>
      </c>
      <c r="I134" s="6" t="str">
        <f aca="false">IF(D134&lt;&gt;"Regular","Off-Cycle - See Register",IF(H134="DUPLICATE - REVIEW","Duplicate Payment",IF(ABS(G134)&gt;0.01,"Gross Pay Discrepancy","Clear")))</f>
        <v>Clear</v>
      </c>
    </row>
    <row r="135" customFormat="false" ht="15" hidden="false" customHeight="false" outlineLevel="0" collapsed="false">
      <c r="A135" s="6" t="str">
        <f aca="false">'Payroll Register'!A135</f>
        <v>E1011</v>
      </c>
      <c r="B135" s="6" t="str">
        <f aca="false">'Payroll Register'!B135</f>
        <v>Employee 012</v>
      </c>
      <c r="C135" s="6" t="str">
        <f aca="false">'Payroll Register'!D135</f>
        <v>2026-06-15 to 2026-06-21</v>
      </c>
      <c r="D135" s="6" t="str">
        <f aca="false">'Payroll Register'!E135</f>
        <v>Regular</v>
      </c>
      <c r="E135" s="7" t="n">
        <f aca="false">ROUND('Payroll Register'!F135*'Payroll Register'!G135,2)</f>
        <v>517.61</v>
      </c>
      <c r="F135" s="7" t="n">
        <f aca="false">'Payroll Register'!H135</f>
        <v>517.61</v>
      </c>
      <c r="G135" s="7" t="n">
        <f aca="false">ROUND(F135-E135,2)</f>
        <v>0</v>
      </c>
      <c r="H135" s="6" t="str">
        <f aca="false">IF(COUNTIFS(A$2:A$247,A135,C$2:C$247,C135)&gt;1,"DUPLICATE - REVIEW","OK")</f>
        <v>OK</v>
      </c>
      <c r="I135" s="6" t="str">
        <f aca="false">IF(D135&lt;&gt;"Regular","Off-Cycle - See Register",IF(H135="DUPLICATE - REVIEW","Duplicate Payment",IF(ABS(G135)&gt;0.01,"Gross Pay Discrepancy","Clear")))</f>
        <v>Clear</v>
      </c>
    </row>
    <row r="136" customFormat="false" ht="15" hidden="false" customHeight="false" outlineLevel="0" collapsed="false">
      <c r="A136" s="6" t="str">
        <f aca="false">'Payroll Register'!A136</f>
        <v>E1012</v>
      </c>
      <c r="B136" s="6" t="str">
        <f aca="false">'Payroll Register'!B136</f>
        <v>Employee 013</v>
      </c>
      <c r="C136" s="6" t="str">
        <f aca="false">'Payroll Register'!D136</f>
        <v>2026-06-15 to 2026-06-21</v>
      </c>
      <c r="D136" s="6" t="str">
        <f aca="false">'Payroll Register'!E136</f>
        <v>Regular</v>
      </c>
      <c r="E136" s="7" t="n">
        <f aca="false">ROUND('Payroll Register'!F136*'Payroll Register'!G136,2)</f>
        <v>445.39</v>
      </c>
      <c r="F136" s="7" t="n">
        <f aca="false">'Payroll Register'!H136</f>
        <v>445.39</v>
      </c>
      <c r="G136" s="7" t="n">
        <f aca="false">ROUND(F136-E136,2)</f>
        <v>0</v>
      </c>
      <c r="H136" s="6" t="str">
        <f aca="false">IF(COUNTIFS(A$2:A$247,A136,C$2:C$247,C136)&gt;1,"DUPLICATE - REVIEW","OK")</f>
        <v>OK</v>
      </c>
      <c r="I136" s="6" t="str">
        <f aca="false">IF(D136&lt;&gt;"Regular","Off-Cycle - See Register",IF(H136="DUPLICATE - REVIEW","Duplicate Payment",IF(ABS(G136)&gt;0.01,"Gross Pay Discrepancy","Clear")))</f>
        <v>Clear</v>
      </c>
    </row>
    <row r="137" customFormat="false" ht="15" hidden="false" customHeight="false" outlineLevel="0" collapsed="false">
      <c r="A137" s="6" t="str">
        <f aca="false">'Payroll Register'!A137</f>
        <v>E1013</v>
      </c>
      <c r="B137" s="6" t="str">
        <f aca="false">'Payroll Register'!B137</f>
        <v>Employee 014</v>
      </c>
      <c r="C137" s="6" t="str">
        <f aca="false">'Payroll Register'!D137</f>
        <v>2026-06-15 to 2026-06-21</v>
      </c>
      <c r="D137" s="6" t="str">
        <f aca="false">'Payroll Register'!E137</f>
        <v>Regular</v>
      </c>
      <c r="E137" s="7" t="n">
        <f aca="false">ROUND('Payroll Register'!F137*'Payroll Register'!G137,2)</f>
        <v>725.04</v>
      </c>
      <c r="F137" s="7" t="n">
        <f aca="false">'Payroll Register'!H137</f>
        <v>725.04</v>
      </c>
      <c r="G137" s="7" t="n">
        <f aca="false">ROUND(F137-E137,2)</f>
        <v>0</v>
      </c>
      <c r="H137" s="6" t="str">
        <f aca="false">IF(COUNTIFS(A$2:A$247,A137,C$2:C$247,C137)&gt;1,"DUPLICATE - REVIEW","OK")</f>
        <v>OK</v>
      </c>
      <c r="I137" s="6" t="str">
        <f aca="false">IF(D137&lt;&gt;"Regular","Off-Cycle - See Register",IF(H137="DUPLICATE - REVIEW","Duplicate Payment",IF(ABS(G137)&gt;0.01,"Gross Pay Discrepancy","Clear")))</f>
        <v>Clear</v>
      </c>
    </row>
    <row r="138" customFormat="false" ht="15" hidden="false" customHeight="false" outlineLevel="0" collapsed="false">
      <c r="A138" s="6" t="str">
        <f aca="false">'Payroll Register'!A138</f>
        <v>E1014</v>
      </c>
      <c r="B138" s="6" t="str">
        <f aca="false">'Payroll Register'!B138</f>
        <v>Employee 015</v>
      </c>
      <c r="C138" s="6" t="str">
        <f aca="false">'Payroll Register'!D138</f>
        <v>2026-06-15 to 2026-06-21</v>
      </c>
      <c r="D138" s="6" t="str">
        <f aca="false">'Payroll Register'!E138</f>
        <v>Regular</v>
      </c>
      <c r="E138" s="7" t="n">
        <f aca="false">ROUND('Payroll Register'!F138*'Payroll Register'!G138,2)</f>
        <v>806.88</v>
      </c>
      <c r="F138" s="7" t="n">
        <f aca="false">'Payroll Register'!H138</f>
        <v>806.88</v>
      </c>
      <c r="G138" s="7" t="n">
        <f aca="false">ROUND(F138-E138,2)</f>
        <v>0</v>
      </c>
      <c r="H138" s="6" t="str">
        <f aca="false">IF(COUNTIFS(A$2:A$247,A138,C$2:C$247,C138)&gt;1,"DUPLICATE - REVIEW","OK")</f>
        <v>OK</v>
      </c>
      <c r="I138" s="6" t="str">
        <f aca="false">IF(D138&lt;&gt;"Regular","Off-Cycle - See Register",IF(H138="DUPLICATE - REVIEW","Duplicate Payment",IF(ABS(G138)&gt;0.01,"Gross Pay Discrepancy","Clear")))</f>
        <v>Clear</v>
      </c>
    </row>
    <row r="139" customFormat="false" ht="15" hidden="false" customHeight="false" outlineLevel="0" collapsed="false">
      <c r="A139" s="6" t="str">
        <f aca="false">'Payroll Register'!A139</f>
        <v>E1015</v>
      </c>
      <c r="B139" s="6" t="str">
        <f aca="false">'Payroll Register'!B139</f>
        <v>Employee 016</v>
      </c>
      <c r="C139" s="6" t="str">
        <f aca="false">'Payroll Register'!D139</f>
        <v>2026-06-15 to 2026-06-21</v>
      </c>
      <c r="D139" s="6" t="str">
        <f aca="false">'Payroll Register'!E139</f>
        <v>Regular</v>
      </c>
      <c r="E139" s="7" t="n">
        <f aca="false">ROUND('Payroll Register'!F139*'Payroll Register'!G139,2)</f>
        <v>587.9</v>
      </c>
      <c r="F139" s="7" t="n">
        <f aca="false">'Payroll Register'!H139</f>
        <v>587.9</v>
      </c>
      <c r="G139" s="7" t="n">
        <f aca="false">ROUND(F139-E139,2)</f>
        <v>0</v>
      </c>
      <c r="H139" s="6" t="str">
        <f aca="false">IF(COUNTIFS(A$2:A$247,A139,C$2:C$247,C139)&gt;1,"DUPLICATE - REVIEW","OK")</f>
        <v>OK</v>
      </c>
      <c r="I139" s="6" t="str">
        <f aca="false">IF(D139&lt;&gt;"Regular","Off-Cycle - See Register",IF(H139="DUPLICATE - REVIEW","Duplicate Payment",IF(ABS(G139)&gt;0.01,"Gross Pay Discrepancy","Clear")))</f>
        <v>Clear</v>
      </c>
    </row>
    <row r="140" customFormat="false" ht="15" hidden="false" customHeight="false" outlineLevel="0" collapsed="false">
      <c r="A140" s="6" t="str">
        <f aca="false">'Payroll Register'!A140</f>
        <v>E1016</v>
      </c>
      <c r="B140" s="6" t="str">
        <f aca="false">'Payroll Register'!B140</f>
        <v>Employee 017</v>
      </c>
      <c r="C140" s="6" t="str">
        <f aca="false">'Payroll Register'!D140</f>
        <v>2026-06-15 to 2026-06-21</v>
      </c>
      <c r="D140" s="6" t="str">
        <f aca="false">'Payroll Register'!E140</f>
        <v>Regular</v>
      </c>
      <c r="E140" s="7" t="n">
        <f aca="false">ROUND('Payroll Register'!F140*'Payroll Register'!G140,2)</f>
        <v>648.75</v>
      </c>
      <c r="F140" s="7" t="n">
        <f aca="false">'Payroll Register'!H140</f>
        <v>648.75</v>
      </c>
      <c r="G140" s="7" t="n">
        <f aca="false">ROUND(F140-E140,2)</f>
        <v>0</v>
      </c>
      <c r="H140" s="6" t="str">
        <f aca="false">IF(COUNTIFS(A$2:A$247,A140,C$2:C$247,C140)&gt;1,"DUPLICATE - REVIEW","OK")</f>
        <v>OK</v>
      </c>
      <c r="I140" s="6" t="str">
        <f aca="false">IF(D140&lt;&gt;"Regular","Off-Cycle - See Register",IF(H140="DUPLICATE - REVIEW","Duplicate Payment",IF(ABS(G140)&gt;0.01,"Gross Pay Discrepancy","Clear")))</f>
        <v>Clear</v>
      </c>
    </row>
    <row r="141" customFormat="false" ht="15" hidden="false" customHeight="false" outlineLevel="0" collapsed="false">
      <c r="A141" s="6" t="str">
        <f aca="false">'Payroll Register'!A141</f>
        <v>E1017</v>
      </c>
      <c r="B141" s="6" t="str">
        <f aca="false">'Payroll Register'!B141</f>
        <v>Employee 018</v>
      </c>
      <c r="C141" s="6" t="str">
        <f aca="false">'Payroll Register'!D141</f>
        <v>2026-06-15 to 2026-06-21</v>
      </c>
      <c r="D141" s="6" t="str">
        <f aca="false">'Payroll Register'!E141</f>
        <v>Regular</v>
      </c>
      <c r="E141" s="7" t="n">
        <f aca="false">ROUND('Payroll Register'!F141*'Payroll Register'!G141,2)</f>
        <v>595.75</v>
      </c>
      <c r="F141" s="7" t="n">
        <f aca="false">'Payroll Register'!H141</f>
        <v>595.75</v>
      </c>
      <c r="G141" s="7" t="n">
        <f aca="false">ROUND(F141-E141,2)</f>
        <v>0</v>
      </c>
      <c r="H141" s="6" t="str">
        <f aca="false">IF(COUNTIFS(A$2:A$247,A141,C$2:C$247,C141)&gt;1,"DUPLICATE - REVIEW","OK")</f>
        <v>OK</v>
      </c>
      <c r="I141" s="6" t="str">
        <f aca="false">IF(D141&lt;&gt;"Regular","Off-Cycle - See Register",IF(H141="DUPLICATE - REVIEW","Duplicate Payment",IF(ABS(G141)&gt;0.01,"Gross Pay Discrepancy","Clear")))</f>
        <v>Clear</v>
      </c>
    </row>
    <row r="142" customFormat="false" ht="15" hidden="false" customHeight="false" outlineLevel="0" collapsed="false">
      <c r="A142" s="6" t="str">
        <f aca="false">'Payroll Register'!A142</f>
        <v>E1018</v>
      </c>
      <c r="B142" s="6" t="str">
        <f aca="false">'Payroll Register'!B142</f>
        <v>Employee 019</v>
      </c>
      <c r="C142" s="6" t="str">
        <f aca="false">'Payroll Register'!D142</f>
        <v>2026-06-15 to 2026-06-21</v>
      </c>
      <c r="D142" s="6" t="str">
        <f aca="false">'Payroll Register'!E142</f>
        <v>Regular</v>
      </c>
      <c r="E142" s="7" t="n">
        <f aca="false">ROUND('Payroll Register'!F142*'Payroll Register'!G142,2)</f>
        <v>533.79</v>
      </c>
      <c r="F142" s="7" t="n">
        <f aca="false">'Payroll Register'!H142</f>
        <v>533.78</v>
      </c>
      <c r="G142" s="7" t="n">
        <f aca="false">ROUND(F142-E142,2)</f>
        <v>-0.01</v>
      </c>
      <c r="H142" s="6" t="str">
        <f aca="false">IF(COUNTIFS(A$2:A$247,A142,C$2:C$247,C142)&gt;1,"DUPLICATE - REVIEW","OK")</f>
        <v>DUPLICATE - REVIEW</v>
      </c>
      <c r="I142" s="6" t="str">
        <f aca="false">IF(D142&lt;&gt;"Regular","Off-Cycle - See Register",IF(H142="DUPLICATE - REVIEW","Duplicate Payment",IF(ABS(G142)&gt;0.01,"Gross Pay Discrepancy","Clear")))</f>
        <v>Duplicate Payment</v>
      </c>
    </row>
    <row r="143" customFormat="false" ht="15" hidden="false" customHeight="false" outlineLevel="0" collapsed="false">
      <c r="A143" s="6" t="str">
        <f aca="false">'Payroll Register'!A143</f>
        <v>E1019</v>
      </c>
      <c r="B143" s="6" t="str">
        <f aca="false">'Payroll Register'!B143</f>
        <v>Employee 020</v>
      </c>
      <c r="C143" s="6" t="str">
        <f aca="false">'Payroll Register'!D143</f>
        <v>2026-06-15 to 2026-06-21</v>
      </c>
      <c r="D143" s="6" t="str">
        <f aca="false">'Payroll Register'!E143</f>
        <v>Regular</v>
      </c>
      <c r="E143" s="7" t="n">
        <f aca="false">ROUND('Payroll Register'!F143*'Payroll Register'!G143,2)</f>
        <v>557.66</v>
      </c>
      <c r="F143" s="7" t="n">
        <f aca="false">'Payroll Register'!H143</f>
        <v>557.66</v>
      </c>
      <c r="G143" s="7" t="n">
        <f aca="false">ROUND(F143-E143,2)</f>
        <v>0</v>
      </c>
      <c r="H143" s="6" t="str">
        <f aca="false">IF(COUNTIFS(A$2:A$247,A143,C$2:C$247,C143)&gt;1,"DUPLICATE - REVIEW","OK")</f>
        <v>OK</v>
      </c>
      <c r="I143" s="6" t="str">
        <f aca="false">IF(D143&lt;&gt;"Regular","Off-Cycle - See Register",IF(H143="DUPLICATE - REVIEW","Duplicate Payment",IF(ABS(G143)&gt;0.01,"Gross Pay Discrepancy","Clear")))</f>
        <v>Clear</v>
      </c>
    </row>
    <row r="144" customFormat="false" ht="15" hidden="false" customHeight="false" outlineLevel="0" collapsed="false">
      <c r="A144" s="6" t="str">
        <f aca="false">'Payroll Register'!A144</f>
        <v>E1020</v>
      </c>
      <c r="B144" s="6" t="str">
        <f aca="false">'Payroll Register'!B144</f>
        <v>Employee 021</v>
      </c>
      <c r="C144" s="6" t="str">
        <f aca="false">'Payroll Register'!D144</f>
        <v>2026-06-15 to 2026-06-21</v>
      </c>
      <c r="D144" s="6" t="str">
        <f aca="false">'Payroll Register'!E144</f>
        <v>Regular</v>
      </c>
      <c r="E144" s="7" t="n">
        <f aca="false">ROUND('Payroll Register'!F144*'Payroll Register'!G144,2)</f>
        <v>687</v>
      </c>
      <c r="F144" s="7" t="n">
        <f aca="false">'Payroll Register'!H144</f>
        <v>687</v>
      </c>
      <c r="G144" s="7" t="n">
        <f aca="false">ROUND(F144-E144,2)</f>
        <v>0</v>
      </c>
      <c r="H144" s="6" t="str">
        <f aca="false">IF(COUNTIFS(A$2:A$247,A144,C$2:C$247,C144)&gt;1,"DUPLICATE - REVIEW","OK")</f>
        <v>OK</v>
      </c>
      <c r="I144" s="6" t="str">
        <f aca="false">IF(D144&lt;&gt;"Regular","Off-Cycle - See Register",IF(H144="DUPLICATE - REVIEW","Duplicate Payment",IF(ABS(G144)&gt;0.01,"Gross Pay Discrepancy","Clear")))</f>
        <v>Clear</v>
      </c>
    </row>
    <row r="145" customFormat="false" ht="15" hidden="false" customHeight="false" outlineLevel="0" collapsed="false">
      <c r="A145" s="6" t="str">
        <f aca="false">'Payroll Register'!A145</f>
        <v>E1021</v>
      </c>
      <c r="B145" s="6" t="str">
        <f aca="false">'Payroll Register'!B145</f>
        <v>Employee 022</v>
      </c>
      <c r="C145" s="6" t="str">
        <f aca="false">'Payroll Register'!D145</f>
        <v>2026-06-15 to 2026-06-21</v>
      </c>
      <c r="D145" s="6" t="str">
        <f aca="false">'Payroll Register'!E145</f>
        <v>Regular</v>
      </c>
      <c r="E145" s="7" t="n">
        <f aca="false">ROUND('Payroll Register'!F145*'Payroll Register'!G145,2)</f>
        <v>415.27</v>
      </c>
      <c r="F145" s="7" t="n">
        <f aca="false">'Payroll Register'!H145</f>
        <v>415.27</v>
      </c>
      <c r="G145" s="7" t="n">
        <f aca="false">ROUND(F145-E145,2)</f>
        <v>0</v>
      </c>
      <c r="H145" s="6" t="str">
        <f aca="false">IF(COUNTIFS(A$2:A$247,A145,C$2:C$247,C145)&gt;1,"DUPLICATE - REVIEW","OK")</f>
        <v>OK</v>
      </c>
      <c r="I145" s="6" t="str">
        <f aca="false">IF(D145&lt;&gt;"Regular","Off-Cycle - See Register",IF(H145="DUPLICATE - REVIEW","Duplicate Payment",IF(ABS(G145)&gt;0.01,"Gross Pay Discrepancy","Clear")))</f>
        <v>Clear</v>
      </c>
    </row>
    <row r="146" customFormat="false" ht="15" hidden="false" customHeight="false" outlineLevel="0" collapsed="false">
      <c r="A146" s="6" t="str">
        <f aca="false">'Payroll Register'!A146</f>
        <v>E1022</v>
      </c>
      <c r="B146" s="6" t="str">
        <f aca="false">'Payroll Register'!B146</f>
        <v>Employee 023</v>
      </c>
      <c r="C146" s="6" t="str">
        <f aca="false">'Payroll Register'!D146</f>
        <v>2026-06-15 to 2026-06-21</v>
      </c>
      <c r="D146" s="6" t="str">
        <f aca="false">'Payroll Register'!E146</f>
        <v>Regular</v>
      </c>
      <c r="E146" s="7" t="n">
        <f aca="false">ROUND('Payroll Register'!F146*'Payroll Register'!G146,2)</f>
        <v>309.68</v>
      </c>
      <c r="F146" s="7" t="n">
        <f aca="false">'Payroll Register'!H146</f>
        <v>309.68</v>
      </c>
      <c r="G146" s="7" t="n">
        <f aca="false">ROUND(F146-E146,2)</f>
        <v>0</v>
      </c>
      <c r="H146" s="6" t="str">
        <f aca="false">IF(COUNTIFS(A$2:A$247,A146,C$2:C$247,C146)&gt;1,"DUPLICATE - REVIEW","OK")</f>
        <v>OK</v>
      </c>
      <c r="I146" s="6" t="str">
        <f aca="false">IF(D146&lt;&gt;"Regular","Off-Cycle - See Register",IF(H146="DUPLICATE - REVIEW","Duplicate Payment",IF(ABS(G146)&gt;0.01,"Gross Pay Discrepancy","Clear")))</f>
        <v>Clear</v>
      </c>
    </row>
    <row r="147" customFormat="false" ht="15" hidden="false" customHeight="false" outlineLevel="0" collapsed="false">
      <c r="A147" s="6" t="str">
        <f aca="false">'Payroll Register'!A147</f>
        <v>E1023</v>
      </c>
      <c r="B147" s="6" t="str">
        <f aca="false">'Payroll Register'!B147</f>
        <v>Employee 024</v>
      </c>
      <c r="C147" s="6" t="str">
        <f aca="false">'Payroll Register'!D147</f>
        <v>2026-06-15 to 2026-06-21</v>
      </c>
      <c r="D147" s="6" t="str">
        <f aca="false">'Payroll Register'!E147</f>
        <v>Regular</v>
      </c>
      <c r="E147" s="7" t="n">
        <f aca="false">ROUND('Payroll Register'!F147*'Payroll Register'!G147,2)</f>
        <v>1050.94</v>
      </c>
      <c r="F147" s="7" t="n">
        <f aca="false">'Payroll Register'!H147</f>
        <v>1050.94</v>
      </c>
      <c r="G147" s="7" t="n">
        <f aca="false">ROUND(F147-E147,2)</f>
        <v>0</v>
      </c>
      <c r="H147" s="6" t="str">
        <f aca="false">IF(COUNTIFS(A$2:A$247,A147,C$2:C$247,C147)&gt;1,"DUPLICATE - REVIEW","OK")</f>
        <v>OK</v>
      </c>
      <c r="I147" s="6" t="str">
        <f aca="false">IF(D147&lt;&gt;"Regular","Off-Cycle - See Register",IF(H147="DUPLICATE - REVIEW","Duplicate Payment",IF(ABS(G147)&gt;0.01,"Gross Pay Discrepancy","Clear")))</f>
        <v>Clear</v>
      </c>
    </row>
    <row r="148" customFormat="false" ht="15" hidden="false" customHeight="false" outlineLevel="0" collapsed="false">
      <c r="A148" s="6" t="str">
        <f aca="false">'Payroll Register'!A148</f>
        <v>E1024</v>
      </c>
      <c r="B148" s="6" t="str">
        <f aca="false">'Payroll Register'!B148</f>
        <v>Employee 025</v>
      </c>
      <c r="C148" s="6" t="str">
        <f aca="false">'Payroll Register'!D148</f>
        <v>2026-06-15 to 2026-06-21</v>
      </c>
      <c r="D148" s="6" t="str">
        <f aca="false">'Payroll Register'!E148</f>
        <v>Regular</v>
      </c>
      <c r="E148" s="7" t="n">
        <f aca="false">ROUND('Payroll Register'!F148*'Payroll Register'!G148,2)</f>
        <v>726.55</v>
      </c>
      <c r="F148" s="7" t="n">
        <f aca="false">'Payroll Register'!H148</f>
        <v>726.55</v>
      </c>
      <c r="G148" s="7" t="n">
        <f aca="false">ROUND(F148-E148,2)</f>
        <v>0</v>
      </c>
      <c r="H148" s="6" t="str">
        <f aca="false">IF(COUNTIFS(A$2:A$247,A148,C$2:C$247,C148)&gt;1,"DUPLICATE - REVIEW","OK")</f>
        <v>OK</v>
      </c>
      <c r="I148" s="6" t="str">
        <f aca="false">IF(D148&lt;&gt;"Regular","Off-Cycle - See Register",IF(H148="DUPLICATE - REVIEW","Duplicate Payment",IF(ABS(G148)&gt;0.01,"Gross Pay Discrepancy","Clear")))</f>
        <v>Clear</v>
      </c>
    </row>
    <row r="149" customFormat="false" ht="15" hidden="false" customHeight="false" outlineLevel="0" collapsed="false">
      <c r="A149" s="6" t="str">
        <f aca="false">'Payroll Register'!A149</f>
        <v>E1025</v>
      </c>
      <c r="B149" s="6" t="str">
        <f aca="false">'Payroll Register'!B149</f>
        <v>Employee 026</v>
      </c>
      <c r="C149" s="6" t="str">
        <f aca="false">'Payroll Register'!D149</f>
        <v>2026-06-15 to 2026-06-21</v>
      </c>
      <c r="D149" s="6" t="str">
        <f aca="false">'Payroll Register'!E149</f>
        <v>Regular</v>
      </c>
      <c r="E149" s="7" t="n">
        <f aca="false">ROUND('Payroll Register'!F149*'Payroll Register'!G149,2)</f>
        <v>506.32</v>
      </c>
      <c r="F149" s="7" t="n">
        <f aca="false">'Payroll Register'!H149</f>
        <v>506.32</v>
      </c>
      <c r="G149" s="7" t="n">
        <f aca="false">ROUND(F149-E149,2)</f>
        <v>0</v>
      </c>
      <c r="H149" s="6" t="str">
        <f aca="false">IF(COUNTIFS(A$2:A$247,A149,C$2:C$247,C149)&gt;1,"DUPLICATE - REVIEW","OK")</f>
        <v>OK</v>
      </c>
      <c r="I149" s="6" t="str">
        <f aca="false">IF(D149&lt;&gt;"Regular","Off-Cycle - See Register",IF(H149="DUPLICATE - REVIEW","Duplicate Payment",IF(ABS(G149)&gt;0.01,"Gross Pay Discrepancy","Clear")))</f>
        <v>Clear</v>
      </c>
    </row>
    <row r="150" customFormat="false" ht="15" hidden="false" customHeight="false" outlineLevel="0" collapsed="false">
      <c r="A150" s="6" t="str">
        <f aca="false">'Payroll Register'!A150</f>
        <v>E1026</v>
      </c>
      <c r="B150" s="6" t="str">
        <f aca="false">'Payroll Register'!B150</f>
        <v>Employee 027</v>
      </c>
      <c r="C150" s="6" t="str">
        <f aca="false">'Payroll Register'!D150</f>
        <v>2026-06-15 to 2026-06-21</v>
      </c>
      <c r="D150" s="6" t="str">
        <f aca="false">'Payroll Register'!E150</f>
        <v>Regular</v>
      </c>
      <c r="E150" s="7" t="n">
        <f aca="false">ROUND('Payroll Register'!F150*'Payroll Register'!G150,2)</f>
        <v>278.71</v>
      </c>
      <c r="F150" s="7" t="n">
        <f aca="false">'Payroll Register'!H150</f>
        <v>278.71</v>
      </c>
      <c r="G150" s="7" t="n">
        <f aca="false">ROUND(F150-E150,2)</f>
        <v>0</v>
      </c>
      <c r="H150" s="6" t="str">
        <f aca="false">IF(COUNTIFS(A$2:A$247,A150,C$2:C$247,C150)&gt;1,"DUPLICATE - REVIEW","OK")</f>
        <v>OK</v>
      </c>
      <c r="I150" s="6" t="str">
        <f aca="false">IF(D150&lt;&gt;"Regular","Off-Cycle - See Register",IF(H150="DUPLICATE - REVIEW","Duplicate Payment",IF(ABS(G150)&gt;0.01,"Gross Pay Discrepancy","Clear")))</f>
        <v>Clear</v>
      </c>
    </row>
    <row r="151" customFormat="false" ht="15" hidden="false" customHeight="false" outlineLevel="0" collapsed="false">
      <c r="A151" s="6" t="str">
        <f aca="false">'Payroll Register'!A151</f>
        <v>E1027</v>
      </c>
      <c r="B151" s="6" t="str">
        <f aca="false">'Payroll Register'!B151</f>
        <v>Employee 028</v>
      </c>
      <c r="C151" s="6" t="str">
        <f aca="false">'Payroll Register'!D151</f>
        <v>2026-06-15 to 2026-06-21</v>
      </c>
      <c r="D151" s="6" t="str">
        <f aca="false">'Payroll Register'!E151</f>
        <v>Regular</v>
      </c>
      <c r="E151" s="7" t="n">
        <f aca="false">ROUND('Payroll Register'!F151*'Payroll Register'!G151,2)</f>
        <v>639.33</v>
      </c>
      <c r="F151" s="7" t="n">
        <f aca="false">'Payroll Register'!H151</f>
        <v>639.33</v>
      </c>
      <c r="G151" s="7" t="n">
        <f aca="false">ROUND(F151-E151,2)</f>
        <v>0</v>
      </c>
      <c r="H151" s="6" t="str">
        <f aca="false">IF(COUNTIFS(A$2:A$247,A151,C$2:C$247,C151)&gt;1,"DUPLICATE - REVIEW","OK")</f>
        <v>OK</v>
      </c>
      <c r="I151" s="6" t="str">
        <f aca="false">IF(D151&lt;&gt;"Regular","Off-Cycle - See Register",IF(H151="DUPLICATE - REVIEW","Duplicate Payment",IF(ABS(G151)&gt;0.01,"Gross Pay Discrepancy","Clear")))</f>
        <v>Clear</v>
      </c>
    </row>
    <row r="152" customFormat="false" ht="15" hidden="false" customHeight="false" outlineLevel="0" collapsed="false">
      <c r="A152" s="6" t="str">
        <f aca="false">'Payroll Register'!A152</f>
        <v>E1028</v>
      </c>
      <c r="B152" s="6" t="str">
        <f aca="false">'Payroll Register'!B152</f>
        <v>Employee 029</v>
      </c>
      <c r="C152" s="6" t="str">
        <f aca="false">'Payroll Register'!D152</f>
        <v>2026-06-15 to 2026-06-21</v>
      </c>
      <c r="D152" s="6" t="str">
        <f aca="false">'Payroll Register'!E152</f>
        <v>Regular</v>
      </c>
      <c r="E152" s="7" t="n">
        <f aca="false">ROUND('Payroll Register'!F152*'Payroll Register'!G152,2)</f>
        <v>361.51</v>
      </c>
      <c r="F152" s="7" t="n">
        <f aca="false">'Payroll Register'!H152</f>
        <v>361.51</v>
      </c>
      <c r="G152" s="7" t="n">
        <f aca="false">ROUND(F152-E152,2)</f>
        <v>0</v>
      </c>
      <c r="H152" s="6" t="str">
        <f aca="false">IF(COUNTIFS(A$2:A$247,A152,C$2:C$247,C152)&gt;1,"DUPLICATE - REVIEW","OK")</f>
        <v>OK</v>
      </c>
      <c r="I152" s="6" t="str">
        <f aca="false">IF(D152&lt;&gt;"Regular","Off-Cycle - See Register",IF(H152="DUPLICATE - REVIEW","Duplicate Payment",IF(ABS(G152)&gt;0.01,"Gross Pay Discrepancy","Clear")))</f>
        <v>Clear</v>
      </c>
    </row>
    <row r="153" customFormat="false" ht="15" hidden="false" customHeight="false" outlineLevel="0" collapsed="false">
      <c r="A153" s="6" t="str">
        <f aca="false">'Payroll Register'!A153</f>
        <v>E1029</v>
      </c>
      <c r="B153" s="6" t="str">
        <f aca="false">'Payroll Register'!B153</f>
        <v>Employee 030</v>
      </c>
      <c r="C153" s="6" t="str">
        <f aca="false">'Payroll Register'!D153</f>
        <v>2026-06-15 to 2026-06-21</v>
      </c>
      <c r="D153" s="6" t="str">
        <f aca="false">'Payroll Register'!E153</f>
        <v>Regular</v>
      </c>
      <c r="E153" s="7" t="n">
        <f aca="false">ROUND('Payroll Register'!F153*'Payroll Register'!G153,2)</f>
        <v>1068.1</v>
      </c>
      <c r="F153" s="7" t="n">
        <f aca="false">'Payroll Register'!H153</f>
        <v>1068.1</v>
      </c>
      <c r="G153" s="7" t="n">
        <f aca="false">ROUND(F153-E153,2)</f>
        <v>0</v>
      </c>
      <c r="H153" s="6" t="str">
        <f aca="false">IF(COUNTIFS(A$2:A$247,A153,C$2:C$247,C153)&gt;1,"DUPLICATE - REVIEW","OK")</f>
        <v>OK</v>
      </c>
      <c r="I153" s="6" t="str">
        <f aca="false">IF(D153&lt;&gt;"Regular","Off-Cycle - See Register",IF(H153="DUPLICATE - REVIEW","Duplicate Payment",IF(ABS(G153)&gt;0.01,"Gross Pay Discrepancy","Clear")))</f>
        <v>Clear</v>
      </c>
    </row>
    <row r="154" customFormat="false" ht="15" hidden="false" customHeight="false" outlineLevel="0" collapsed="false">
      <c r="A154" s="6" t="str">
        <f aca="false">'Payroll Register'!A154</f>
        <v>E1030</v>
      </c>
      <c r="B154" s="6" t="str">
        <f aca="false">'Payroll Register'!B154</f>
        <v>Employee 031</v>
      </c>
      <c r="C154" s="6" t="str">
        <f aca="false">'Payroll Register'!D154</f>
        <v>2026-06-15 to 2026-06-21</v>
      </c>
      <c r="D154" s="6" t="str">
        <f aca="false">'Payroll Register'!E154</f>
        <v>Regular</v>
      </c>
      <c r="E154" s="7" t="n">
        <f aca="false">ROUND('Payroll Register'!F154*'Payroll Register'!G154,2)</f>
        <v>578.15</v>
      </c>
      <c r="F154" s="7" t="n">
        <f aca="false">'Payroll Register'!H154</f>
        <v>578.15</v>
      </c>
      <c r="G154" s="7" t="n">
        <f aca="false">ROUND(F154-E154,2)</f>
        <v>0</v>
      </c>
      <c r="H154" s="6" t="str">
        <f aca="false">IF(COUNTIFS(A$2:A$247,A154,C$2:C$247,C154)&gt;1,"DUPLICATE - REVIEW","OK")</f>
        <v>OK</v>
      </c>
      <c r="I154" s="6" t="str">
        <f aca="false">IF(D154&lt;&gt;"Regular","Off-Cycle - See Register",IF(H154="DUPLICATE - REVIEW","Duplicate Payment",IF(ABS(G154)&gt;0.01,"Gross Pay Discrepancy","Clear")))</f>
        <v>Clear</v>
      </c>
    </row>
    <row r="155" customFormat="false" ht="15" hidden="false" customHeight="false" outlineLevel="0" collapsed="false">
      <c r="A155" s="6" t="str">
        <f aca="false">'Payroll Register'!A155</f>
        <v>E1031</v>
      </c>
      <c r="B155" s="6" t="str">
        <f aca="false">'Payroll Register'!B155</f>
        <v>Employee 032</v>
      </c>
      <c r="C155" s="6" t="str">
        <f aca="false">'Payroll Register'!D155</f>
        <v>2026-06-15 to 2026-06-21</v>
      </c>
      <c r="D155" s="6" t="str">
        <f aca="false">'Payroll Register'!E155</f>
        <v>Regular</v>
      </c>
      <c r="E155" s="7" t="n">
        <f aca="false">ROUND('Payroll Register'!F155*'Payroll Register'!G155,2)</f>
        <v>608.05</v>
      </c>
      <c r="F155" s="7" t="n">
        <f aca="false">'Payroll Register'!H155</f>
        <v>608.05</v>
      </c>
      <c r="G155" s="7" t="n">
        <f aca="false">ROUND(F155-E155,2)</f>
        <v>0</v>
      </c>
      <c r="H155" s="6" t="str">
        <f aca="false">IF(COUNTIFS(A$2:A$247,A155,C$2:C$247,C155)&gt;1,"DUPLICATE - REVIEW","OK")</f>
        <v>OK</v>
      </c>
      <c r="I155" s="6" t="str">
        <f aca="false">IF(D155&lt;&gt;"Regular","Off-Cycle - See Register",IF(H155="DUPLICATE - REVIEW","Duplicate Payment",IF(ABS(G155)&gt;0.01,"Gross Pay Discrepancy","Clear")))</f>
        <v>Clear</v>
      </c>
    </row>
    <row r="156" customFormat="false" ht="15" hidden="false" customHeight="false" outlineLevel="0" collapsed="false">
      <c r="A156" s="6" t="str">
        <f aca="false">'Payroll Register'!A156</f>
        <v>E1032</v>
      </c>
      <c r="B156" s="6" t="str">
        <f aca="false">'Payroll Register'!B156</f>
        <v>Employee 033</v>
      </c>
      <c r="C156" s="6" t="str">
        <f aca="false">'Payroll Register'!D156</f>
        <v>2026-06-15 to 2026-06-21</v>
      </c>
      <c r="D156" s="6" t="str">
        <f aca="false">'Payroll Register'!E156</f>
        <v>Regular</v>
      </c>
      <c r="E156" s="7" t="n">
        <f aca="false">ROUND('Payroll Register'!F156*'Payroll Register'!G156,2)</f>
        <v>572.25</v>
      </c>
      <c r="F156" s="7" t="n">
        <f aca="false">'Payroll Register'!H156</f>
        <v>572.25</v>
      </c>
      <c r="G156" s="7" t="n">
        <f aca="false">ROUND(F156-E156,2)</f>
        <v>0</v>
      </c>
      <c r="H156" s="6" t="str">
        <f aca="false">IF(COUNTIFS(A$2:A$247,A156,C$2:C$247,C156)&gt;1,"DUPLICATE - REVIEW","OK")</f>
        <v>OK</v>
      </c>
      <c r="I156" s="6" t="str">
        <f aca="false">IF(D156&lt;&gt;"Regular","Off-Cycle - See Register",IF(H156="DUPLICATE - REVIEW","Duplicate Payment",IF(ABS(G156)&gt;0.01,"Gross Pay Discrepancy","Clear")))</f>
        <v>Clear</v>
      </c>
    </row>
    <row r="157" customFormat="false" ht="15" hidden="false" customHeight="false" outlineLevel="0" collapsed="false">
      <c r="A157" s="6" t="str">
        <f aca="false">'Payroll Register'!A157</f>
        <v>E1033</v>
      </c>
      <c r="B157" s="6" t="str">
        <f aca="false">'Payroll Register'!B157</f>
        <v>Employee 034</v>
      </c>
      <c r="C157" s="6" t="str">
        <f aca="false">'Payroll Register'!D157</f>
        <v>2026-06-15 to 2026-06-21</v>
      </c>
      <c r="D157" s="6" t="str">
        <f aca="false">'Payroll Register'!E157</f>
        <v>Regular</v>
      </c>
      <c r="E157" s="7" t="n">
        <f aca="false">ROUND('Payroll Register'!F157*'Payroll Register'!G157,2)</f>
        <v>470.44</v>
      </c>
      <c r="F157" s="7" t="n">
        <f aca="false">'Payroll Register'!H157</f>
        <v>470.44</v>
      </c>
      <c r="G157" s="7" t="n">
        <f aca="false">ROUND(F157-E157,2)</f>
        <v>0</v>
      </c>
      <c r="H157" s="6" t="str">
        <f aca="false">IF(COUNTIFS(A$2:A$247,A157,C$2:C$247,C157)&gt;1,"DUPLICATE - REVIEW","OK")</f>
        <v>OK</v>
      </c>
      <c r="I157" s="6" t="str">
        <f aca="false">IF(D157&lt;&gt;"Regular","Off-Cycle - See Register",IF(H157="DUPLICATE - REVIEW","Duplicate Payment",IF(ABS(G157)&gt;0.01,"Gross Pay Discrepancy","Clear")))</f>
        <v>Clear</v>
      </c>
    </row>
    <row r="158" customFormat="false" ht="15" hidden="false" customHeight="false" outlineLevel="0" collapsed="false">
      <c r="A158" s="6" t="str">
        <f aca="false">'Payroll Register'!A158</f>
        <v>E1034</v>
      </c>
      <c r="B158" s="6" t="str">
        <f aca="false">'Payroll Register'!B158</f>
        <v>Employee 035</v>
      </c>
      <c r="C158" s="6" t="str">
        <f aca="false">'Payroll Register'!D158</f>
        <v>2026-06-15 to 2026-06-21</v>
      </c>
      <c r="D158" s="6" t="str">
        <f aca="false">'Payroll Register'!E158</f>
        <v>Regular</v>
      </c>
      <c r="E158" s="7" t="n">
        <f aca="false">ROUND('Payroll Register'!F158*'Payroll Register'!G158,2)</f>
        <v>455.11</v>
      </c>
      <c r="F158" s="7" t="n">
        <f aca="false">'Payroll Register'!H158</f>
        <v>455.11</v>
      </c>
      <c r="G158" s="7" t="n">
        <f aca="false">ROUND(F158-E158,2)</f>
        <v>0</v>
      </c>
      <c r="H158" s="6" t="str">
        <f aca="false">IF(COUNTIFS(A$2:A$247,A158,C$2:C$247,C158)&gt;1,"DUPLICATE - REVIEW","OK")</f>
        <v>OK</v>
      </c>
      <c r="I158" s="6" t="str">
        <f aca="false">IF(D158&lt;&gt;"Regular","Off-Cycle - See Register",IF(H158="DUPLICATE - REVIEW","Duplicate Payment",IF(ABS(G158)&gt;0.01,"Gross Pay Discrepancy","Clear")))</f>
        <v>Clear</v>
      </c>
    </row>
    <row r="159" customFormat="false" ht="15" hidden="false" customHeight="false" outlineLevel="0" collapsed="false">
      <c r="A159" s="6" t="str">
        <f aca="false">'Payroll Register'!A159</f>
        <v>E1035</v>
      </c>
      <c r="B159" s="6" t="str">
        <f aca="false">'Payroll Register'!B159</f>
        <v>Employee 036</v>
      </c>
      <c r="C159" s="6" t="str">
        <f aca="false">'Payroll Register'!D159</f>
        <v>2026-06-15 to 2026-06-21</v>
      </c>
      <c r="D159" s="6" t="str">
        <f aca="false">'Payroll Register'!E159</f>
        <v>Regular</v>
      </c>
      <c r="E159" s="7" t="n">
        <f aca="false">ROUND('Payroll Register'!F159*'Payroll Register'!G159,2)</f>
        <v>425.02</v>
      </c>
      <c r="F159" s="7" t="n">
        <f aca="false">'Payroll Register'!H159</f>
        <v>425.02</v>
      </c>
      <c r="G159" s="7" t="n">
        <f aca="false">ROUND(F159-E159,2)</f>
        <v>0</v>
      </c>
      <c r="H159" s="6" t="str">
        <f aca="false">IF(COUNTIFS(A$2:A$247,A159,C$2:C$247,C159)&gt;1,"DUPLICATE - REVIEW","OK")</f>
        <v>OK</v>
      </c>
      <c r="I159" s="6" t="str">
        <f aca="false">IF(D159&lt;&gt;"Regular","Off-Cycle - See Register",IF(H159="DUPLICATE - REVIEW","Duplicate Payment",IF(ABS(G159)&gt;0.01,"Gross Pay Discrepancy","Clear")))</f>
        <v>Clear</v>
      </c>
    </row>
    <row r="160" customFormat="false" ht="15" hidden="false" customHeight="false" outlineLevel="0" collapsed="false">
      <c r="A160" s="6" t="str">
        <f aca="false">'Payroll Register'!A160</f>
        <v>E1036</v>
      </c>
      <c r="B160" s="6" t="str">
        <f aca="false">'Payroll Register'!B160</f>
        <v>Employee 037</v>
      </c>
      <c r="C160" s="6" t="str">
        <f aca="false">'Payroll Register'!D160</f>
        <v>2026-06-15 to 2026-06-21</v>
      </c>
      <c r="D160" s="6" t="str">
        <f aca="false">'Payroll Register'!E160</f>
        <v>Regular</v>
      </c>
      <c r="E160" s="7" t="n">
        <f aca="false">ROUND('Payroll Register'!F160*'Payroll Register'!G160,2)</f>
        <v>370.56</v>
      </c>
      <c r="F160" s="7" t="n">
        <f aca="false">'Payroll Register'!H160</f>
        <v>370.56</v>
      </c>
      <c r="G160" s="7" t="n">
        <f aca="false">ROUND(F160-E160,2)</f>
        <v>0</v>
      </c>
      <c r="H160" s="6" t="str">
        <f aca="false">IF(COUNTIFS(A$2:A$247,A160,C$2:C$247,C160)&gt;1,"DUPLICATE - REVIEW","OK")</f>
        <v>OK</v>
      </c>
      <c r="I160" s="6" t="str">
        <f aca="false">IF(D160&lt;&gt;"Regular","Off-Cycle - See Register",IF(H160="DUPLICATE - REVIEW","Duplicate Payment",IF(ABS(G160)&gt;0.01,"Gross Pay Discrepancy","Clear")))</f>
        <v>Clear</v>
      </c>
    </row>
    <row r="161" customFormat="false" ht="15" hidden="false" customHeight="false" outlineLevel="0" collapsed="false">
      <c r="A161" s="6" t="str">
        <f aca="false">'Payroll Register'!A161</f>
        <v>E1037</v>
      </c>
      <c r="B161" s="6" t="str">
        <f aca="false">'Payroll Register'!B161</f>
        <v>Employee 038</v>
      </c>
      <c r="C161" s="6" t="str">
        <f aca="false">'Payroll Register'!D161</f>
        <v>2026-06-15 to 2026-06-21</v>
      </c>
      <c r="D161" s="6" t="str">
        <f aca="false">'Payroll Register'!E161</f>
        <v>Regular</v>
      </c>
      <c r="E161" s="7" t="n">
        <f aca="false">ROUND('Payroll Register'!F161*'Payroll Register'!G161,2)</f>
        <v>838.42</v>
      </c>
      <c r="F161" s="7" t="n">
        <f aca="false">'Payroll Register'!H161</f>
        <v>838.42</v>
      </c>
      <c r="G161" s="7" t="n">
        <f aca="false">ROUND(F161-E161,2)</f>
        <v>0</v>
      </c>
      <c r="H161" s="6" t="str">
        <f aca="false">IF(COUNTIFS(A$2:A$247,A161,C$2:C$247,C161)&gt;1,"DUPLICATE - REVIEW","OK")</f>
        <v>OK</v>
      </c>
      <c r="I161" s="6" t="str">
        <f aca="false">IF(D161&lt;&gt;"Regular","Off-Cycle - See Register",IF(H161="DUPLICATE - REVIEW","Duplicate Payment",IF(ABS(G161)&gt;0.01,"Gross Pay Discrepancy","Clear")))</f>
        <v>Clear</v>
      </c>
    </row>
    <row r="162" customFormat="false" ht="15" hidden="false" customHeight="false" outlineLevel="0" collapsed="false">
      <c r="A162" s="6" t="str">
        <f aca="false">'Payroll Register'!A162</f>
        <v>E1038</v>
      </c>
      <c r="B162" s="6" t="str">
        <f aca="false">'Payroll Register'!B162</f>
        <v>Employee 039</v>
      </c>
      <c r="C162" s="6" t="str">
        <f aca="false">'Payroll Register'!D162</f>
        <v>2026-06-15 to 2026-06-21</v>
      </c>
      <c r="D162" s="6" t="str">
        <f aca="false">'Payroll Register'!E162</f>
        <v>Regular</v>
      </c>
      <c r="E162" s="7" t="n">
        <f aca="false">ROUND('Payroll Register'!F162*'Payroll Register'!G162,2)</f>
        <v>601.94</v>
      </c>
      <c r="F162" s="7" t="n">
        <f aca="false">'Payroll Register'!H162</f>
        <v>601.94</v>
      </c>
      <c r="G162" s="7" t="n">
        <f aca="false">ROUND(F162-E162,2)</f>
        <v>0</v>
      </c>
      <c r="H162" s="6" t="str">
        <f aca="false">IF(COUNTIFS(A$2:A$247,A162,C$2:C$247,C162)&gt;1,"DUPLICATE - REVIEW","OK")</f>
        <v>OK</v>
      </c>
      <c r="I162" s="6" t="str">
        <f aca="false">IF(D162&lt;&gt;"Regular","Off-Cycle - See Register",IF(H162="DUPLICATE - REVIEW","Duplicate Payment",IF(ABS(G162)&gt;0.01,"Gross Pay Discrepancy","Clear")))</f>
        <v>Clear</v>
      </c>
    </row>
    <row r="163" customFormat="false" ht="15" hidden="false" customHeight="false" outlineLevel="0" collapsed="false">
      <c r="A163" s="6" t="str">
        <f aca="false">'Payroll Register'!A163</f>
        <v>E1039</v>
      </c>
      <c r="B163" s="6" t="str">
        <f aca="false">'Payroll Register'!B163</f>
        <v>Employee 040</v>
      </c>
      <c r="C163" s="6" t="str">
        <f aca="false">'Payroll Register'!D163</f>
        <v>2026-06-15 to 2026-06-21</v>
      </c>
      <c r="D163" s="6" t="str">
        <f aca="false">'Payroll Register'!E163</f>
        <v>Regular</v>
      </c>
      <c r="E163" s="7" t="n">
        <f aca="false">ROUND('Payroll Register'!F163*'Payroll Register'!G163,2)</f>
        <v>834.09</v>
      </c>
      <c r="F163" s="7" t="n">
        <f aca="false">'Payroll Register'!H163</f>
        <v>834.09</v>
      </c>
      <c r="G163" s="7" t="n">
        <f aca="false">ROUND(F163-E163,2)</f>
        <v>0</v>
      </c>
      <c r="H163" s="6" t="str">
        <f aca="false">IF(COUNTIFS(A$2:A$247,A163,C$2:C$247,C163)&gt;1,"DUPLICATE - REVIEW","OK")</f>
        <v>OK</v>
      </c>
      <c r="I163" s="6" t="str">
        <f aca="false">IF(D163&lt;&gt;"Regular","Off-Cycle - See Register",IF(H163="DUPLICATE - REVIEW","Duplicate Payment",IF(ABS(G163)&gt;0.01,"Gross Pay Discrepancy","Clear")))</f>
        <v>Clear</v>
      </c>
    </row>
    <row r="164" customFormat="false" ht="15" hidden="false" customHeight="false" outlineLevel="0" collapsed="false">
      <c r="A164" s="6" t="str">
        <f aca="false">'Payroll Register'!A164</f>
        <v>E1040</v>
      </c>
      <c r="B164" s="6" t="str">
        <f aca="false">'Payroll Register'!B164</f>
        <v>Employee 041</v>
      </c>
      <c r="C164" s="6" t="str">
        <f aca="false">'Payroll Register'!D164</f>
        <v>2026-06-15 to 2026-06-21</v>
      </c>
      <c r="D164" s="6" t="str">
        <f aca="false">'Payroll Register'!E164</f>
        <v>Regular</v>
      </c>
      <c r="E164" s="7" t="n">
        <f aca="false">ROUND('Payroll Register'!F164*'Payroll Register'!G164,2)</f>
        <v>669.02</v>
      </c>
      <c r="F164" s="7" t="n">
        <f aca="false">'Payroll Register'!H164</f>
        <v>669.02</v>
      </c>
      <c r="G164" s="7" t="n">
        <f aca="false">ROUND(F164-E164,2)</f>
        <v>0</v>
      </c>
      <c r="H164" s="6" t="str">
        <f aca="false">IF(COUNTIFS(A$2:A$247,A164,C$2:C$247,C164)&gt;1,"DUPLICATE - REVIEW","OK")</f>
        <v>OK</v>
      </c>
      <c r="I164" s="6" t="str">
        <f aca="false">IF(D164&lt;&gt;"Regular","Off-Cycle - See Register",IF(H164="DUPLICATE - REVIEW","Duplicate Payment",IF(ABS(G164)&gt;0.01,"Gross Pay Discrepancy","Clear")))</f>
        <v>Clear</v>
      </c>
    </row>
    <row r="165" customFormat="false" ht="15" hidden="false" customHeight="false" outlineLevel="0" collapsed="false">
      <c r="A165" s="6" t="str">
        <f aca="false">'Payroll Register'!A165</f>
        <v>E1041</v>
      </c>
      <c r="B165" s="6" t="str">
        <f aca="false">'Payroll Register'!B165</f>
        <v>Employee 042</v>
      </c>
      <c r="C165" s="6" t="str">
        <f aca="false">'Payroll Register'!D165</f>
        <v>2026-06-15 to 2026-06-21</v>
      </c>
      <c r="D165" s="6" t="str">
        <f aca="false">'Payroll Register'!E165</f>
        <v>Regular</v>
      </c>
      <c r="E165" s="7" t="n">
        <f aca="false">ROUND('Payroll Register'!F165*'Payroll Register'!G165,2)</f>
        <v>890.07</v>
      </c>
      <c r="F165" s="7" t="n">
        <f aca="false">'Payroll Register'!H165</f>
        <v>890.07</v>
      </c>
      <c r="G165" s="7" t="n">
        <f aca="false">ROUND(F165-E165,2)</f>
        <v>0</v>
      </c>
      <c r="H165" s="6" t="str">
        <f aca="false">IF(COUNTIFS(A$2:A$247,A165,C$2:C$247,C165)&gt;1,"DUPLICATE - REVIEW","OK")</f>
        <v>OK</v>
      </c>
      <c r="I165" s="6" t="str">
        <f aca="false">IF(D165&lt;&gt;"Regular","Off-Cycle - See Register",IF(H165="DUPLICATE - REVIEW","Duplicate Payment",IF(ABS(G165)&gt;0.01,"Gross Pay Discrepancy","Clear")))</f>
        <v>Clear</v>
      </c>
    </row>
    <row r="166" customFormat="false" ht="15" hidden="false" customHeight="false" outlineLevel="0" collapsed="false">
      <c r="A166" s="6" t="str">
        <f aca="false">'Payroll Register'!A166</f>
        <v>E1042</v>
      </c>
      <c r="B166" s="6" t="str">
        <f aca="false">'Payroll Register'!B166</f>
        <v>Employee 043</v>
      </c>
      <c r="C166" s="6" t="str">
        <f aca="false">'Payroll Register'!D166</f>
        <v>2026-06-15 to 2026-06-21</v>
      </c>
      <c r="D166" s="6" t="str">
        <f aca="false">'Payroll Register'!E166</f>
        <v>Regular</v>
      </c>
      <c r="E166" s="7" t="n">
        <f aca="false">ROUND('Payroll Register'!F166*'Payroll Register'!G166,2)</f>
        <v>989.21</v>
      </c>
      <c r="F166" s="7" t="n">
        <f aca="false">'Payroll Register'!H166</f>
        <v>989.21</v>
      </c>
      <c r="G166" s="7" t="n">
        <f aca="false">ROUND(F166-E166,2)</f>
        <v>0</v>
      </c>
      <c r="H166" s="6" t="str">
        <f aca="false">IF(COUNTIFS(A$2:A$247,A166,C$2:C$247,C166)&gt;1,"DUPLICATE - REVIEW","OK")</f>
        <v>OK</v>
      </c>
      <c r="I166" s="6" t="str">
        <f aca="false">IF(D166&lt;&gt;"Regular","Off-Cycle - See Register",IF(H166="DUPLICATE - REVIEW","Duplicate Payment",IF(ABS(G166)&gt;0.01,"Gross Pay Discrepancy","Clear")))</f>
        <v>Clear</v>
      </c>
    </row>
    <row r="167" customFormat="false" ht="15" hidden="false" customHeight="false" outlineLevel="0" collapsed="false">
      <c r="A167" s="6" t="str">
        <f aca="false">'Payroll Register'!A167</f>
        <v>E1043</v>
      </c>
      <c r="B167" s="6" t="str">
        <f aca="false">'Payroll Register'!B167</f>
        <v>Employee 044</v>
      </c>
      <c r="C167" s="6" t="str">
        <f aca="false">'Payroll Register'!D167</f>
        <v>2026-06-15 to 2026-06-21</v>
      </c>
      <c r="D167" s="6" t="str">
        <f aca="false">'Payroll Register'!E167</f>
        <v>Regular</v>
      </c>
      <c r="E167" s="7" t="n">
        <f aca="false">ROUND('Payroll Register'!F167*'Payroll Register'!G167,2)</f>
        <v>856.88</v>
      </c>
      <c r="F167" s="7" t="n">
        <f aca="false">'Payroll Register'!H167</f>
        <v>856.88</v>
      </c>
      <c r="G167" s="7" t="n">
        <f aca="false">ROUND(F167-E167,2)</f>
        <v>0</v>
      </c>
      <c r="H167" s="6" t="str">
        <f aca="false">IF(COUNTIFS(A$2:A$247,A167,C$2:C$247,C167)&gt;1,"DUPLICATE - REVIEW","OK")</f>
        <v>OK</v>
      </c>
      <c r="I167" s="6" t="str">
        <f aca="false">IF(D167&lt;&gt;"Regular","Off-Cycle - See Register",IF(H167="DUPLICATE - REVIEW","Duplicate Payment",IF(ABS(G167)&gt;0.01,"Gross Pay Discrepancy","Clear")))</f>
        <v>Clear</v>
      </c>
    </row>
    <row r="168" customFormat="false" ht="15" hidden="false" customHeight="false" outlineLevel="0" collapsed="false">
      <c r="A168" s="6" t="str">
        <f aca="false">'Payroll Register'!A168</f>
        <v>E1044</v>
      </c>
      <c r="B168" s="6" t="str">
        <f aca="false">'Payroll Register'!B168</f>
        <v>Employee 045</v>
      </c>
      <c r="C168" s="6" t="str">
        <f aca="false">'Payroll Register'!D168</f>
        <v>2026-06-15 to 2026-06-21</v>
      </c>
      <c r="D168" s="6" t="str">
        <f aca="false">'Payroll Register'!E168</f>
        <v>Regular</v>
      </c>
      <c r="E168" s="7" t="n">
        <f aca="false">ROUND('Payroll Register'!F168*'Payroll Register'!G168,2)</f>
        <v>452.33</v>
      </c>
      <c r="F168" s="7" t="n">
        <f aca="false">'Payroll Register'!H168</f>
        <v>452.33</v>
      </c>
      <c r="G168" s="7" t="n">
        <f aca="false">ROUND(F168-E168,2)</f>
        <v>0</v>
      </c>
      <c r="H168" s="6" t="str">
        <f aca="false">IF(COUNTIFS(A$2:A$247,A168,C$2:C$247,C168)&gt;1,"DUPLICATE - REVIEW","OK")</f>
        <v>OK</v>
      </c>
      <c r="I168" s="6" t="str">
        <f aca="false">IF(D168&lt;&gt;"Regular","Off-Cycle - See Register",IF(H168="DUPLICATE - REVIEW","Duplicate Payment",IF(ABS(G168)&gt;0.01,"Gross Pay Discrepancy","Clear")))</f>
        <v>Clear</v>
      </c>
    </row>
    <row r="169" customFormat="false" ht="15" hidden="false" customHeight="false" outlineLevel="0" collapsed="false">
      <c r="A169" s="6" t="str">
        <f aca="false">'Payroll Register'!A169</f>
        <v>E1045</v>
      </c>
      <c r="B169" s="6" t="str">
        <f aca="false">'Payroll Register'!B169</f>
        <v>Employee 046</v>
      </c>
      <c r="C169" s="6" t="str">
        <f aca="false">'Payroll Register'!D169</f>
        <v>2026-06-15 to 2026-06-21</v>
      </c>
      <c r="D169" s="6" t="str">
        <f aca="false">'Payroll Register'!E169</f>
        <v>Regular</v>
      </c>
      <c r="E169" s="7" t="n">
        <f aca="false">ROUND('Payroll Register'!F169*'Payroll Register'!G169,2)</f>
        <v>357.55</v>
      </c>
      <c r="F169" s="7" t="n">
        <f aca="false">'Payroll Register'!H169</f>
        <v>357.55</v>
      </c>
      <c r="G169" s="7" t="n">
        <f aca="false">ROUND(F169-E169,2)</f>
        <v>0</v>
      </c>
      <c r="H169" s="6" t="str">
        <f aca="false">IF(COUNTIFS(A$2:A$247,A169,C$2:C$247,C169)&gt;1,"DUPLICATE - REVIEW","OK")</f>
        <v>OK</v>
      </c>
      <c r="I169" s="6" t="str">
        <f aca="false">IF(D169&lt;&gt;"Regular","Off-Cycle - See Register",IF(H169="DUPLICATE - REVIEW","Duplicate Payment",IF(ABS(G169)&gt;0.01,"Gross Pay Discrepancy","Clear")))</f>
        <v>Clear</v>
      </c>
    </row>
    <row r="170" customFormat="false" ht="15" hidden="false" customHeight="false" outlineLevel="0" collapsed="false">
      <c r="A170" s="6" t="str">
        <f aca="false">'Payroll Register'!A170</f>
        <v>E1046</v>
      </c>
      <c r="B170" s="6" t="str">
        <f aca="false">'Payroll Register'!B170</f>
        <v>Employee 047</v>
      </c>
      <c r="C170" s="6" t="str">
        <f aca="false">'Payroll Register'!D170</f>
        <v>2026-06-15 to 2026-06-21</v>
      </c>
      <c r="D170" s="6" t="str">
        <f aca="false">'Payroll Register'!E170</f>
        <v>Regular</v>
      </c>
      <c r="E170" s="7" t="n">
        <f aca="false">ROUND('Payroll Register'!F170*'Payroll Register'!G170,2)</f>
        <v>720.28</v>
      </c>
      <c r="F170" s="7" t="n">
        <f aca="false">'Payroll Register'!H170</f>
        <v>720.28</v>
      </c>
      <c r="G170" s="7" t="n">
        <f aca="false">ROUND(F170-E170,2)</f>
        <v>0</v>
      </c>
      <c r="H170" s="6" t="str">
        <f aca="false">IF(COUNTIFS(A$2:A$247,A170,C$2:C$247,C170)&gt;1,"DUPLICATE - REVIEW","OK")</f>
        <v>OK</v>
      </c>
      <c r="I170" s="6" t="str">
        <f aca="false">IF(D170&lt;&gt;"Regular","Off-Cycle - See Register",IF(H170="DUPLICATE - REVIEW","Duplicate Payment",IF(ABS(G170)&gt;0.01,"Gross Pay Discrepancy","Clear")))</f>
        <v>Clear</v>
      </c>
    </row>
    <row r="171" customFormat="false" ht="15" hidden="false" customHeight="false" outlineLevel="0" collapsed="false">
      <c r="A171" s="6" t="str">
        <f aca="false">'Payroll Register'!A171</f>
        <v>E1047</v>
      </c>
      <c r="B171" s="6" t="str">
        <f aca="false">'Payroll Register'!B171</f>
        <v>Employee 048</v>
      </c>
      <c r="C171" s="6" t="str">
        <f aca="false">'Payroll Register'!D171</f>
        <v>2026-06-15 to 2026-06-21</v>
      </c>
      <c r="D171" s="6" t="str">
        <f aca="false">'Payroll Register'!E171</f>
        <v>Regular</v>
      </c>
      <c r="E171" s="7" t="n">
        <f aca="false">ROUND('Payroll Register'!F171*'Payroll Register'!G171,2)</f>
        <v>881.25</v>
      </c>
      <c r="F171" s="7" t="n">
        <f aca="false">'Payroll Register'!H171</f>
        <v>881.25</v>
      </c>
      <c r="G171" s="7" t="n">
        <f aca="false">ROUND(F171-E171,2)</f>
        <v>0</v>
      </c>
      <c r="H171" s="6" t="str">
        <f aca="false">IF(COUNTIFS(A$2:A$247,A171,C$2:C$247,C171)&gt;1,"DUPLICATE - REVIEW","OK")</f>
        <v>OK</v>
      </c>
      <c r="I171" s="6" t="str">
        <f aca="false">IF(D171&lt;&gt;"Regular","Off-Cycle - See Register",IF(H171="DUPLICATE - REVIEW","Duplicate Payment",IF(ABS(G171)&gt;0.01,"Gross Pay Discrepancy","Clear")))</f>
        <v>Clear</v>
      </c>
    </row>
    <row r="172" customFormat="false" ht="15" hidden="false" customHeight="false" outlineLevel="0" collapsed="false">
      <c r="A172" s="6" t="str">
        <f aca="false">'Payroll Register'!A172</f>
        <v>E1048</v>
      </c>
      <c r="B172" s="6" t="str">
        <f aca="false">'Payroll Register'!B172</f>
        <v>Employee 049</v>
      </c>
      <c r="C172" s="6" t="str">
        <f aca="false">'Payroll Register'!D172</f>
        <v>2026-06-15 to 2026-06-21</v>
      </c>
      <c r="D172" s="6" t="str">
        <f aca="false">'Payroll Register'!E172</f>
        <v>Regular</v>
      </c>
      <c r="E172" s="7" t="n">
        <f aca="false">ROUND('Payroll Register'!F172*'Payroll Register'!G172,2)</f>
        <v>700.85</v>
      </c>
      <c r="F172" s="7" t="n">
        <f aca="false">'Payroll Register'!H172</f>
        <v>700.85</v>
      </c>
      <c r="G172" s="7" t="n">
        <f aca="false">ROUND(F172-E172,2)</f>
        <v>0</v>
      </c>
      <c r="H172" s="6" t="str">
        <f aca="false">IF(COUNTIFS(A$2:A$247,A172,C$2:C$247,C172)&gt;1,"DUPLICATE - REVIEW","OK")</f>
        <v>OK</v>
      </c>
      <c r="I172" s="6" t="str">
        <f aca="false">IF(D172&lt;&gt;"Regular","Off-Cycle - See Register",IF(H172="DUPLICATE - REVIEW","Duplicate Payment",IF(ABS(G172)&gt;0.01,"Gross Pay Discrepancy","Clear")))</f>
        <v>Clear</v>
      </c>
    </row>
    <row r="173" customFormat="false" ht="15" hidden="false" customHeight="false" outlineLevel="0" collapsed="false">
      <c r="A173" s="6" t="str">
        <f aca="false">'Payroll Register'!A173</f>
        <v>E1049</v>
      </c>
      <c r="B173" s="6" t="str">
        <f aca="false">'Payroll Register'!B173</f>
        <v>Employee 050</v>
      </c>
      <c r="C173" s="6" t="str">
        <f aca="false">'Payroll Register'!D173</f>
        <v>2026-06-15 to 2026-06-21</v>
      </c>
      <c r="D173" s="6" t="str">
        <f aca="false">'Payroll Register'!E173</f>
        <v>Regular</v>
      </c>
      <c r="E173" s="7" t="n">
        <f aca="false">ROUND('Payroll Register'!F173*'Payroll Register'!G173,2)</f>
        <v>778.12</v>
      </c>
      <c r="F173" s="7" t="n">
        <f aca="false">'Payroll Register'!H173</f>
        <v>778.12</v>
      </c>
      <c r="G173" s="7" t="n">
        <f aca="false">ROUND(F173-E173,2)</f>
        <v>0</v>
      </c>
      <c r="H173" s="6" t="str">
        <f aca="false">IF(COUNTIFS(A$2:A$247,A173,C$2:C$247,C173)&gt;1,"DUPLICATE - REVIEW","OK")</f>
        <v>OK</v>
      </c>
      <c r="I173" s="6" t="str">
        <f aca="false">IF(D173&lt;&gt;"Regular","Off-Cycle - See Register",IF(H173="DUPLICATE - REVIEW","Duplicate Payment",IF(ABS(G173)&gt;0.01,"Gross Pay Discrepancy","Clear")))</f>
        <v>Clear</v>
      </c>
    </row>
    <row r="174" customFormat="false" ht="15" hidden="false" customHeight="false" outlineLevel="0" collapsed="false">
      <c r="A174" s="6" t="str">
        <f aca="false">'Payroll Register'!A174</f>
        <v>E1050</v>
      </c>
      <c r="B174" s="6" t="str">
        <f aca="false">'Payroll Register'!B174</f>
        <v>Employee 051</v>
      </c>
      <c r="C174" s="6" t="str">
        <f aca="false">'Payroll Register'!D174</f>
        <v>2026-06-15 to 2026-06-21</v>
      </c>
      <c r="D174" s="6" t="str">
        <f aca="false">'Payroll Register'!E174</f>
        <v>Regular</v>
      </c>
      <c r="E174" s="7" t="n">
        <f aca="false">ROUND('Payroll Register'!F174*'Payroll Register'!G174,2)</f>
        <v>823.19</v>
      </c>
      <c r="F174" s="7" t="n">
        <f aca="false">'Payroll Register'!H174</f>
        <v>823.19</v>
      </c>
      <c r="G174" s="7" t="n">
        <f aca="false">ROUND(F174-E174,2)</f>
        <v>0</v>
      </c>
      <c r="H174" s="6" t="str">
        <f aca="false">IF(COUNTIFS(A$2:A$247,A174,C$2:C$247,C174)&gt;1,"DUPLICATE - REVIEW","OK")</f>
        <v>OK</v>
      </c>
      <c r="I174" s="6" t="str">
        <f aca="false">IF(D174&lt;&gt;"Regular","Off-Cycle - See Register",IF(H174="DUPLICATE - REVIEW","Duplicate Payment",IF(ABS(G174)&gt;0.01,"Gross Pay Discrepancy","Clear")))</f>
        <v>Clear</v>
      </c>
    </row>
    <row r="175" customFormat="false" ht="15" hidden="false" customHeight="false" outlineLevel="0" collapsed="false">
      <c r="A175" s="6" t="str">
        <f aca="false">'Payroll Register'!A175</f>
        <v>E1051</v>
      </c>
      <c r="B175" s="6" t="str">
        <f aca="false">'Payroll Register'!B175</f>
        <v>Employee 052</v>
      </c>
      <c r="C175" s="6" t="str">
        <f aca="false">'Payroll Register'!D175</f>
        <v>2026-06-15 to 2026-06-21</v>
      </c>
      <c r="D175" s="6" t="str">
        <f aca="false">'Payroll Register'!E175</f>
        <v>Regular</v>
      </c>
      <c r="E175" s="7" t="n">
        <f aca="false">ROUND('Payroll Register'!F175*'Payroll Register'!G175,2)</f>
        <v>447.05</v>
      </c>
      <c r="F175" s="7" t="n">
        <f aca="false">'Payroll Register'!H175</f>
        <v>447.05</v>
      </c>
      <c r="G175" s="7" t="n">
        <f aca="false">ROUND(F175-E175,2)</f>
        <v>0</v>
      </c>
      <c r="H175" s="6" t="str">
        <f aca="false">IF(COUNTIFS(A$2:A$247,A175,C$2:C$247,C175)&gt;1,"DUPLICATE - REVIEW","OK")</f>
        <v>OK</v>
      </c>
      <c r="I175" s="6" t="str">
        <f aca="false">IF(D175&lt;&gt;"Regular","Off-Cycle - See Register",IF(H175="DUPLICATE - REVIEW","Duplicate Payment",IF(ABS(G175)&gt;0.01,"Gross Pay Discrepancy","Clear")))</f>
        <v>Clear</v>
      </c>
    </row>
    <row r="176" customFormat="false" ht="15" hidden="false" customHeight="false" outlineLevel="0" collapsed="false">
      <c r="A176" s="6" t="str">
        <f aca="false">'Payroll Register'!A176</f>
        <v>E1052</v>
      </c>
      <c r="B176" s="6" t="str">
        <f aca="false">'Payroll Register'!B176</f>
        <v>Employee 053</v>
      </c>
      <c r="C176" s="6" t="str">
        <f aca="false">'Payroll Register'!D176</f>
        <v>2026-06-15 to 2026-06-21</v>
      </c>
      <c r="D176" s="6" t="str">
        <f aca="false">'Payroll Register'!E176</f>
        <v>Regular</v>
      </c>
      <c r="E176" s="7" t="n">
        <f aca="false">ROUND('Payroll Register'!F176*'Payroll Register'!G176,2)</f>
        <v>462.89</v>
      </c>
      <c r="F176" s="7" t="n">
        <f aca="false">'Payroll Register'!H176</f>
        <v>462.89</v>
      </c>
      <c r="G176" s="7" t="n">
        <f aca="false">ROUND(F176-E176,2)</f>
        <v>0</v>
      </c>
      <c r="H176" s="6" t="str">
        <f aca="false">IF(COUNTIFS(A$2:A$247,A176,C$2:C$247,C176)&gt;1,"DUPLICATE - REVIEW","OK")</f>
        <v>OK</v>
      </c>
      <c r="I176" s="6" t="str">
        <f aca="false">IF(D176&lt;&gt;"Regular","Off-Cycle - See Register",IF(H176="DUPLICATE - REVIEW","Duplicate Payment",IF(ABS(G176)&gt;0.01,"Gross Pay Discrepancy","Clear")))</f>
        <v>Clear</v>
      </c>
    </row>
    <row r="177" customFormat="false" ht="15" hidden="false" customHeight="false" outlineLevel="0" collapsed="false">
      <c r="A177" s="6" t="str">
        <f aca="false">'Payroll Register'!A177</f>
        <v>E1053</v>
      </c>
      <c r="B177" s="6" t="str">
        <f aca="false">'Payroll Register'!B177</f>
        <v>Employee 054</v>
      </c>
      <c r="C177" s="6" t="str">
        <f aca="false">'Payroll Register'!D177</f>
        <v>2026-06-15 to 2026-06-21</v>
      </c>
      <c r="D177" s="6" t="str">
        <f aca="false">'Payroll Register'!E177</f>
        <v>Regular</v>
      </c>
      <c r="E177" s="7" t="n">
        <f aca="false">ROUND('Payroll Register'!F177*'Payroll Register'!G177,2)</f>
        <v>430.62</v>
      </c>
      <c r="F177" s="7" t="n">
        <f aca="false">'Payroll Register'!H177</f>
        <v>430.62</v>
      </c>
      <c r="G177" s="7" t="n">
        <f aca="false">ROUND(F177-E177,2)</f>
        <v>0</v>
      </c>
      <c r="H177" s="6" t="str">
        <f aca="false">IF(COUNTIFS(A$2:A$247,A177,C$2:C$247,C177)&gt;1,"DUPLICATE - REVIEW","OK")</f>
        <v>OK</v>
      </c>
      <c r="I177" s="6" t="str">
        <f aca="false">IF(D177&lt;&gt;"Regular","Off-Cycle - See Register",IF(H177="DUPLICATE - REVIEW","Duplicate Payment",IF(ABS(G177)&gt;0.01,"Gross Pay Discrepancy","Clear")))</f>
        <v>Clear</v>
      </c>
    </row>
    <row r="178" customFormat="false" ht="15" hidden="false" customHeight="false" outlineLevel="0" collapsed="false">
      <c r="A178" s="6" t="str">
        <f aca="false">'Payroll Register'!A178</f>
        <v>E1054</v>
      </c>
      <c r="B178" s="6" t="str">
        <f aca="false">'Payroll Register'!B178</f>
        <v>Employee 055</v>
      </c>
      <c r="C178" s="6" t="str">
        <f aca="false">'Payroll Register'!D178</f>
        <v>2026-06-15 to 2026-06-21</v>
      </c>
      <c r="D178" s="6" t="str">
        <f aca="false">'Payroll Register'!E178</f>
        <v>Regular</v>
      </c>
      <c r="E178" s="7" t="n">
        <f aca="false">ROUND('Payroll Register'!F178*'Payroll Register'!G178,2)</f>
        <v>662.78</v>
      </c>
      <c r="F178" s="7" t="n">
        <f aca="false">'Payroll Register'!H178</f>
        <v>662.78</v>
      </c>
      <c r="G178" s="7" t="n">
        <f aca="false">ROUND(F178-E178,2)</f>
        <v>0</v>
      </c>
      <c r="H178" s="6" t="str">
        <f aca="false">IF(COUNTIFS(A$2:A$247,A178,C$2:C$247,C178)&gt;1,"DUPLICATE - REVIEW","OK")</f>
        <v>OK</v>
      </c>
      <c r="I178" s="6" t="str">
        <f aca="false">IF(D178&lt;&gt;"Regular","Off-Cycle - See Register",IF(H178="DUPLICATE - REVIEW","Duplicate Payment",IF(ABS(G178)&gt;0.01,"Gross Pay Discrepancy","Clear")))</f>
        <v>Clear</v>
      </c>
    </row>
    <row r="179" customFormat="false" ht="15" hidden="false" customHeight="false" outlineLevel="0" collapsed="false">
      <c r="A179" s="6" t="str">
        <f aca="false">'Payroll Register'!A179</f>
        <v>E1055</v>
      </c>
      <c r="B179" s="6" t="str">
        <f aca="false">'Payroll Register'!B179</f>
        <v>Employee 056</v>
      </c>
      <c r="C179" s="6" t="str">
        <f aca="false">'Payroll Register'!D179</f>
        <v>2026-06-15 to 2026-06-21</v>
      </c>
      <c r="D179" s="6" t="str">
        <f aca="false">'Payroll Register'!E179</f>
        <v>Regular</v>
      </c>
      <c r="E179" s="7" t="n">
        <f aca="false">ROUND('Payroll Register'!F179*'Payroll Register'!G179,2)</f>
        <v>828.5</v>
      </c>
      <c r="F179" s="7" t="n">
        <f aca="false">'Payroll Register'!H179</f>
        <v>828.5</v>
      </c>
      <c r="G179" s="7" t="n">
        <f aca="false">ROUND(F179-E179,2)</f>
        <v>0</v>
      </c>
      <c r="H179" s="6" t="str">
        <f aca="false">IF(COUNTIFS(A$2:A$247,A179,C$2:C$247,C179)&gt;1,"DUPLICATE - REVIEW","OK")</f>
        <v>OK</v>
      </c>
      <c r="I179" s="6" t="str">
        <f aca="false">IF(D179&lt;&gt;"Regular","Off-Cycle - See Register",IF(H179="DUPLICATE - REVIEW","Duplicate Payment",IF(ABS(G179)&gt;0.01,"Gross Pay Discrepancy","Clear")))</f>
        <v>Clear</v>
      </c>
    </row>
    <row r="180" customFormat="false" ht="15" hidden="false" customHeight="false" outlineLevel="0" collapsed="false">
      <c r="A180" s="6" t="str">
        <f aca="false">'Payroll Register'!A180</f>
        <v>E1056</v>
      </c>
      <c r="B180" s="6" t="str">
        <f aca="false">'Payroll Register'!B180</f>
        <v>Employee 057</v>
      </c>
      <c r="C180" s="6" t="str">
        <f aca="false">'Payroll Register'!D180</f>
        <v>2026-06-15 to 2026-06-21</v>
      </c>
      <c r="D180" s="6" t="str">
        <f aca="false">'Payroll Register'!E180</f>
        <v>Regular</v>
      </c>
      <c r="E180" s="7" t="n">
        <f aca="false">ROUND('Payroll Register'!F180*'Payroll Register'!G180,2)</f>
        <v>886.18</v>
      </c>
      <c r="F180" s="7" t="n">
        <f aca="false">'Payroll Register'!H180</f>
        <v>886.18</v>
      </c>
      <c r="G180" s="7" t="n">
        <f aca="false">ROUND(F180-E180,2)</f>
        <v>0</v>
      </c>
      <c r="H180" s="6" t="str">
        <f aca="false">IF(COUNTIFS(A$2:A$247,A180,C$2:C$247,C180)&gt;1,"DUPLICATE - REVIEW","OK")</f>
        <v>OK</v>
      </c>
      <c r="I180" s="6" t="str">
        <f aca="false">IF(D180&lt;&gt;"Regular","Off-Cycle - See Register",IF(H180="DUPLICATE - REVIEW","Duplicate Payment",IF(ABS(G180)&gt;0.01,"Gross Pay Discrepancy","Clear")))</f>
        <v>Clear</v>
      </c>
    </row>
    <row r="181" customFormat="false" ht="15" hidden="false" customHeight="false" outlineLevel="0" collapsed="false">
      <c r="A181" s="6" t="str">
        <f aca="false">'Payroll Register'!A181</f>
        <v>E1057</v>
      </c>
      <c r="B181" s="6" t="str">
        <f aca="false">'Payroll Register'!B181</f>
        <v>Employee 058</v>
      </c>
      <c r="C181" s="6" t="str">
        <f aca="false">'Payroll Register'!D181</f>
        <v>2026-06-15 to 2026-06-21</v>
      </c>
      <c r="D181" s="6" t="str">
        <f aca="false">'Payroll Register'!E181</f>
        <v>Regular</v>
      </c>
      <c r="E181" s="7" t="n">
        <f aca="false">ROUND('Payroll Register'!F181*'Payroll Register'!G181,2)</f>
        <v>463.97</v>
      </c>
      <c r="F181" s="7" t="n">
        <f aca="false">'Payroll Register'!H181</f>
        <v>463.97</v>
      </c>
      <c r="G181" s="7" t="n">
        <f aca="false">ROUND(F181-E181,2)</f>
        <v>0</v>
      </c>
      <c r="H181" s="6" t="str">
        <f aca="false">IF(COUNTIFS(A$2:A$247,A181,C$2:C$247,C181)&gt;1,"DUPLICATE - REVIEW","OK")</f>
        <v>OK</v>
      </c>
      <c r="I181" s="6" t="str">
        <f aca="false">IF(D181&lt;&gt;"Regular","Off-Cycle - See Register",IF(H181="DUPLICATE - REVIEW","Duplicate Payment",IF(ABS(G181)&gt;0.01,"Gross Pay Discrepancy","Clear")))</f>
        <v>Clear</v>
      </c>
    </row>
    <row r="182" customFormat="false" ht="15" hidden="false" customHeight="false" outlineLevel="0" collapsed="false">
      <c r="A182" s="6" t="str">
        <f aca="false">'Payroll Register'!A182</f>
        <v>E1058</v>
      </c>
      <c r="B182" s="6" t="str">
        <f aca="false">'Payroll Register'!B182</f>
        <v>Employee 059</v>
      </c>
      <c r="C182" s="6" t="str">
        <f aca="false">'Payroll Register'!D182</f>
        <v>2026-06-15 to 2026-06-21</v>
      </c>
      <c r="D182" s="6" t="str">
        <f aca="false">'Payroll Register'!E182</f>
        <v>Regular</v>
      </c>
      <c r="E182" s="7" t="n">
        <f aca="false">ROUND('Payroll Register'!F182*'Payroll Register'!G182,2)</f>
        <v>561.79</v>
      </c>
      <c r="F182" s="7" t="n">
        <f aca="false">'Payroll Register'!H182</f>
        <v>561.79</v>
      </c>
      <c r="G182" s="7" t="n">
        <f aca="false">ROUND(F182-E182,2)</f>
        <v>0</v>
      </c>
      <c r="H182" s="6" t="str">
        <f aca="false">IF(COUNTIFS(A$2:A$247,A182,C$2:C$247,C182)&gt;1,"DUPLICATE - REVIEW","OK")</f>
        <v>OK</v>
      </c>
      <c r="I182" s="6" t="str">
        <f aca="false">IF(D182&lt;&gt;"Regular","Off-Cycle - See Register",IF(H182="DUPLICATE - REVIEW","Duplicate Payment",IF(ABS(G182)&gt;0.01,"Gross Pay Discrepancy","Clear")))</f>
        <v>Clear</v>
      </c>
    </row>
    <row r="183" customFormat="false" ht="15" hidden="false" customHeight="false" outlineLevel="0" collapsed="false">
      <c r="A183" s="6" t="str">
        <f aca="false">'Payroll Register'!A183</f>
        <v>E1059</v>
      </c>
      <c r="B183" s="6" t="str">
        <f aca="false">'Payroll Register'!B183</f>
        <v>Employee 060</v>
      </c>
      <c r="C183" s="6" t="str">
        <f aca="false">'Payroll Register'!D183</f>
        <v>2026-06-15 to 2026-06-21</v>
      </c>
      <c r="D183" s="6" t="str">
        <f aca="false">'Payroll Register'!E183</f>
        <v>Regular</v>
      </c>
      <c r="E183" s="7" t="n">
        <f aca="false">ROUND('Payroll Register'!F183*'Payroll Register'!G183,2)</f>
        <v>433.06</v>
      </c>
      <c r="F183" s="7" t="n">
        <f aca="false">'Payroll Register'!H183</f>
        <v>433.06</v>
      </c>
      <c r="G183" s="7" t="n">
        <f aca="false">ROUND(F183-E183,2)</f>
        <v>0</v>
      </c>
      <c r="H183" s="6" t="str">
        <f aca="false">IF(COUNTIFS(A$2:A$247,A183,C$2:C$247,C183)&gt;1,"DUPLICATE - REVIEW","OK")</f>
        <v>OK</v>
      </c>
      <c r="I183" s="6" t="str">
        <f aca="false">IF(D183&lt;&gt;"Regular","Off-Cycle - See Register",IF(H183="DUPLICATE - REVIEW","Duplicate Payment",IF(ABS(G183)&gt;0.01,"Gross Pay Discrepancy","Clear")))</f>
        <v>Clear</v>
      </c>
    </row>
    <row r="184" customFormat="false" ht="15" hidden="false" customHeight="false" outlineLevel="0" collapsed="false">
      <c r="A184" s="6" t="str">
        <f aca="false">'Payroll Register'!A184</f>
        <v>E1000</v>
      </c>
      <c r="B184" s="6" t="str">
        <f aca="false">'Payroll Register'!B184</f>
        <v>Employee 001</v>
      </c>
      <c r="C184" s="6" t="str">
        <f aca="false">'Payroll Register'!D184</f>
        <v>2026-06-22 to 2026-06-28</v>
      </c>
      <c r="D184" s="6" t="str">
        <f aca="false">'Payroll Register'!E184</f>
        <v>Regular</v>
      </c>
      <c r="E184" s="7" t="n">
        <f aca="false">ROUND('Payroll Register'!F184*'Payroll Register'!G184,2)</f>
        <v>416.93</v>
      </c>
      <c r="F184" s="7" t="n">
        <f aca="false">'Payroll Register'!H184</f>
        <v>416.93</v>
      </c>
      <c r="G184" s="7" t="n">
        <f aca="false">ROUND(F184-E184,2)</f>
        <v>0</v>
      </c>
      <c r="H184" s="6" t="str">
        <f aca="false">IF(COUNTIFS(A$2:A$247,A184,C$2:C$247,C184)&gt;1,"DUPLICATE - REVIEW","OK")</f>
        <v>OK</v>
      </c>
      <c r="I184" s="6" t="str">
        <f aca="false">IF(D184&lt;&gt;"Regular","Off-Cycle - See Register",IF(H184="DUPLICATE - REVIEW","Duplicate Payment",IF(ABS(G184)&gt;0.01,"Gross Pay Discrepancy","Clear")))</f>
        <v>Clear</v>
      </c>
    </row>
    <row r="185" customFormat="false" ht="15" hidden="false" customHeight="false" outlineLevel="0" collapsed="false">
      <c r="A185" s="6" t="str">
        <f aca="false">'Payroll Register'!A185</f>
        <v>E1001</v>
      </c>
      <c r="B185" s="6" t="str">
        <f aca="false">'Payroll Register'!B185</f>
        <v>Employee 002</v>
      </c>
      <c r="C185" s="6" t="str">
        <f aca="false">'Payroll Register'!D185</f>
        <v>2026-06-22 to 2026-06-28</v>
      </c>
      <c r="D185" s="6" t="str">
        <f aca="false">'Payroll Register'!E185</f>
        <v>Regular</v>
      </c>
      <c r="E185" s="7" t="n">
        <f aca="false">ROUND('Payroll Register'!F185*'Payroll Register'!G185,2)</f>
        <v>580.42</v>
      </c>
      <c r="F185" s="7" t="n">
        <f aca="false">'Payroll Register'!H185</f>
        <v>580.42</v>
      </c>
      <c r="G185" s="7" t="n">
        <f aca="false">ROUND(F185-E185,2)</f>
        <v>0</v>
      </c>
      <c r="H185" s="6" t="str">
        <f aca="false">IF(COUNTIFS(A$2:A$247,A185,C$2:C$247,C185)&gt;1,"DUPLICATE - REVIEW","OK")</f>
        <v>OK</v>
      </c>
      <c r="I185" s="6" t="str">
        <f aca="false">IF(D185&lt;&gt;"Regular","Off-Cycle - See Register",IF(H185="DUPLICATE - REVIEW","Duplicate Payment",IF(ABS(G185)&gt;0.01,"Gross Pay Discrepancy","Clear")))</f>
        <v>Clear</v>
      </c>
    </row>
    <row r="186" customFormat="false" ht="15" hidden="false" customHeight="false" outlineLevel="0" collapsed="false">
      <c r="A186" s="6" t="str">
        <f aca="false">'Payroll Register'!A186</f>
        <v>E1002</v>
      </c>
      <c r="B186" s="6" t="str">
        <f aca="false">'Payroll Register'!B186</f>
        <v>Employee 003</v>
      </c>
      <c r="C186" s="6" t="str">
        <f aca="false">'Payroll Register'!D186</f>
        <v>2026-06-22 to 2026-06-28</v>
      </c>
      <c r="D186" s="6" t="str">
        <f aca="false">'Payroll Register'!E186</f>
        <v>Regular</v>
      </c>
      <c r="E186" s="7" t="n">
        <f aca="false">ROUND('Payroll Register'!F186*'Payroll Register'!G186,2)</f>
        <v>452.53</v>
      </c>
      <c r="F186" s="7" t="n">
        <f aca="false">'Payroll Register'!H186</f>
        <v>452.53</v>
      </c>
      <c r="G186" s="7" t="n">
        <f aca="false">ROUND(F186-E186,2)</f>
        <v>0</v>
      </c>
      <c r="H186" s="6" t="str">
        <f aca="false">IF(COUNTIFS(A$2:A$247,A186,C$2:C$247,C186)&gt;1,"DUPLICATE - REVIEW","OK")</f>
        <v>OK</v>
      </c>
      <c r="I186" s="6" t="str">
        <f aca="false">IF(D186&lt;&gt;"Regular","Off-Cycle - See Register",IF(H186="DUPLICATE - REVIEW","Duplicate Payment",IF(ABS(G186)&gt;0.01,"Gross Pay Discrepancy","Clear")))</f>
        <v>Clear</v>
      </c>
    </row>
    <row r="187" customFormat="false" ht="15" hidden="false" customHeight="false" outlineLevel="0" collapsed="false">
      <c r="A187" s="6" t="str">
        <f aca="false">'Payroll Register'!A187</f>
        <v>E1003</v>
      </c>
      <c r="B187" s="6" t="str">
        <f aca="false">'Payroll Register'!B187</f>
        <v>Employee 004</v>
      </c>
      <c r="C187" s="6" t="str">
        <f aca="false">'Payroll Register'!D187</f>
        <v>2026-06-22 to 2026-06-28</v>
      </c>
      <c r="D187" s="6" t="str">
        <f aca="false">'Payroll Register'!E187</f>
        <v>Regular</v>
      </c>
      <c r="E187" s="7" t="n">
        <f aca="false">ROUND('Payroll Register'!F187*'Payroll Register'!G187,2)</f>
        <v>516.21</v>
      </c>
      <c r="F187" s="7" t="n">
        <f aca="false">'Payroll Register'!H187</f>
        <v>516.21</v>
      </c>
      <c r="G187" s="7" t="n">
        <f aca="false">ROUND(F187-E187,2)</f>
        <v>0</v>
      </c>
      <c r="H187" s="6" t="str">
        <f aca="false">IF(COUNTIFS(A$2:A$247,A187,C$2:C$247,C187)&gt;1,"DUPLICATE - REVIEW","OK")</f>
        <v>OK</v>
      </c>
      <c r="I187" s="6" t="str">
        <f aca="false">IF(D187&lt;&gt;"Regular","Off-Cycle - See Register",IF(H187="DUPLICATE - REVIEW","Duplicate Payment",IF(ABS(G187)&gt;0.01,"Gross Pay Discrepancy","Clear")))</f>
        <v>Clear</v>
      </c>
    </row>
    <row r="188" customFormat="false" ht="15" hidden="false" customHeight="false" outlineLevel="0" collapsed="false">
      <c r="A188" s="6" t="str">
        <f aca="false">'Payroll Register'!A188</f>
        <v>E1004</v>
      </c>
      <c r="B188" s="6" t="str">
        <f aca="false">'Payroll Register'!B188</f>
        <v>Employee 005</v>
      </c>
      <c r="C188" s="6" t="str">
        <f aca="false">'Payroll Register'!D188</f>
        <v>2026-06-22 to 2026-06-28</v>
      </c>
      <c r="D188" s="6" t="str">
        <f aca="false">'Payroll Register'!E188</f>
        <v>Regular</v>
      </c>
      <c r="E188" s="7" t="n">
        <f aca="false">ROUND('Payroll Register'!F188*'Payroll Register'!G188,2)</f>
        <v>316.74</v>
      </c>
      <c r="F188" s="7" t="n">
        <f aca="false">'Payroll Register'!H188</f>
        <v>316.74</v>
      </c>
      <c r="G188" s="7" t="n">
        <f aca="false">ROUND(F188-E188,2)</f>
        <v>0</v>
      </c>
      <c r="H188" s="6" t="str">
        <f aca="false">IF(COUNTIFS(A$2:A$247,A188,C$2:C$247,C188)&gt;1,"DUPLICATE - REVIEW","OK")</f>
        <v>OK</v>
      </c>
      <c r="I188" s="6" t="str">
        <f aca="false">IF(D188&lt;&gt;"Regular","Off-Cycle - See Register",IF(H188="DUPLICATE - REVIEW","Duplicate Payment",IF(ABS(G188)&gt;0.01,"Gross Pay Discrepancy","Clear")))</f>
        <v>Clear</v>
      </c>
    </row>
    <row r="189" customFormat="false" ht="15" hidden="false" customHeight="false" outlineLevel="0" collapsed="false">
      <c r="A189" s="6" t="str">
        <f aca="false">'Payroll Register'!A189</f>
        <v>E1005</v>
      </c>
      <c r="B189" s="6" t="str">
        <f aca="false">'Payroll Register'!B189</f>
        <v>Employee 006</v>
      </c>
      <c r="C189" s="6" t="str">
        <f aca="false">'Payroll Register'!D189</f>
        <v>2026-06-22 to 2026-06-28</v>
      </c>
      <c r="D189" s="6" t="str">
        <f aca="false">'Payroll Register'!E189</f>
        <v>Regular</v>
      </c>
      <c r="E189" s="7" t="n">
        <f aca="false">ROUND('Payroll Register'!F189*'Payroll Register'!G189,2)</f>
        <v>302.68</v>
      </c>
      <c r="F189" s="7" t="n">
        <f aca="false">'Payroll Register'!H189</f>
        <v>302.68</v>
      </c>
      <c r="G189" s="7" t="n">
        <f aca="false">ROUND(F189-E189,2)</f>
        <v>0</v>
      </c>
      <c r="H189" s="6" t="str">
        <f aca="false">IF(COUNTIFS(A$2:A$247,A189,C$2:C$247,C189)&gt;1,"DUPLICATE - REVIEW","OK")</f>
        <v>OK</v>
      </c>
      <c r="I189" s="6" t="str">
        <f aca="false">IF(D189&lt;&gt;"Regular","Off-Cycle - See Register",IF(H189="DUPLICATE - REVIEW","Duplicate Payment",IF(ABS(G189)&gt;0.01,"Gross Pay Discrepancy","Clear")))</f>
        <v>Clear</v>
      </c>
    </row>
    <row r="190" customFormat="false" ht="15" hidden="false" customHeight="false" outlineLevel="0" collapsed="false">
      <c r="A190" s="6" t="str">
        <f aca="false">'Payroll Register'!A190</f>
        <v>E1006</v>
      </c>
      <c r="B190" s="6" t="str">
        <f aca="false">'Payroll Register'!B190</f>
        <v>Employee 007</v>
      </c>
      <c r="C190" s="6" t="str">
        <f aca="false">'Payroll Register'!D190</f>
        <v>2026-06-22 to 2026-06-28</v>
      </c>
      <c r="D190" s="6" t="str">
        <f aca="false">'Payroll Register'!E190</f>
        <v>Regular</v>
      </c>
      <c r="E190" s="7" t="n">
        <f aca="false">ROUND('Payroll Register'!F190*'Payroll Register'!G190,2)</f>
        <v>732.81</v>
      </c>
      <c r="F190" s="7" t="n">
        <f aca="false">'Payroll Register'!H190</f>
        <v>732.81</v>
      </c>
      <c r="G190" s="7" t="n">
        <f aca="false">ROUND(F190-E190,2)</f>
        <v>0</v>
      </c>
      <c r="H190" s="6" t="str">
        <f aca="false">IF(COUNTIFS(A$2:A$247,A190,C$2:C$247,C190)&gt;1,"DUPLICATE - REVIEW","OK")</f>
        <v>OK</v>
      </c>
      <c r="I190" s="6" t="str">
        <f aca="false">IF(D190&lt;&gt;"Regular","Off-Cycle - See Register",IF(H190="DUPLICATE - REVIEW","Duplicate Payment",IF(ABS(G190)&gt;0.01,"Gross Pay Discrepancy","Clear")))</f>
        <v>Clear</v>
      </c>
    </row>
    <row r="191" customFormat="false" ht="15" hidden="false" customHeight="false" outlineLevel="0" collapsed="false">
      <c r="A191" s="6" t="str">
        <f aca="false">'Payroll Register'!A191</f>
        <v>E1007</v>
      </c>
      <c r="B191" s="6" t="str">
        <f aca="false">'Payroll Register'!B191</f>
        <v>Employee 008</v>
      </c>
      <c r="C191" s="6" t="str">
        <f aca="false">'Payroll Register'!D191</f>
        <v>2026-06-22 to 2026-06-28</v>
      </c>
      <c r="D191" s="6" t="str">
        <f aca="false">'Payroll Register'!E191</f>
        <v>Regular</v>
      </c>
      <c r="E191" s="7" t="n">
        <f aca="false">ROUND('Payroll Register'!F191*'Payroll Register'!G191,2)</f>
        <v>584.22</v>
      </c>
      <c r="F191" s="7" t="n">
        <f aca="false">'Payroll Register'!H191</f>
        <v>584.22</v>
      </c>
      <c r="G191" s="7" t="n">
        <f aca="false">ROUND(F191-E191,2)</f>
        <v>0</v>
      </c>
      <c r="H191" s="6" t="str">
        <f aca="false">IF(COUNTIFS(A$2:A$247,A191,C$2:C$247,C191)&gt;1,"DUPLICATE - REVIEW","OK")</f>
        <v>OK</v>
      </c>
      <c r="I191" s="6" t="str">
        <f aca="false">IF(D191&lt;&gt;"Regular","Off-Cycle - See Register",IF(H191="DUPLICATE - REVIEW","Duplicate Payment",IF(ABS(G191)&gt;0.01,"Gross Pay Discrepancy","Clear")))</f>
        <v>Clear</v>
      </c>
    </row>
    <row r="192" customFormat="false" ht="15" hidden="false" customHeight="false" outlineLevel="0" collapsed="false">
      <c r="A192" s="6" t="str">
        <f aca="false">'Payroll Register'!A192</f>
        <v>E1008</v>
      </c>
      <c r="B192" s="6" t="str">
        <f aca="false">'Payroll Register'!B192</f>
        <v>Employee 009</v>
      </c>
      <c r="C192" s="6" t="str">
        <f aca="false">'Payroll Register'!D192</f>
        <v>2026-06-22 to 2026-06-28</v>
      </c>
      <c r="D192" s="6" t="str">
        <f aca="false">'Payroll Register'!E192</f>
        <v>Regular</v>
      </c>
      <c r="E192" s="7" t="n">
        <f aca="false">ROUND('Payroll Register'!F192*'Payroll Register'!G192,2)</f>
        <v>568.74</v>
      </c>
      <c r="F192" s="7" t="n">
        <f aca="false">'Payroll Register'!H192</f>
        <v>568.74</v>
      </c>
      <c r="G192" s="7" t="n">
        <f aca="false">ROUND(F192-E192,2)</f>
        <v>0</v>
      </c>
      <c r="H192" s="6" t="str">
        <f aca="false">IF(COUNTIFS(A$2:A$247,A192,C$2:C$247,C192)&gt;1,"DUPLICATE - REVIEW","OK")</f>
        <v>OK</v>
      </c>
      <c r="I192" s="6" t="str">
        <f aca="false">IF(D192&lt;&gt;"Regular","Off-Cycle - See Register",IF(H192="DUPLICATE - REVIEW","Duplicate Payment",IF(ABS(G192)&gt;0.01,"Gross Pay Discrepancy","Clear")))</f>
        <v>Clear</v>
      </c>
    </row>
    <row r="193" customFormat="false" ht="15" hidden="false" customHeight="false" outlineLevel="0" collapsed="false">
      <c r="A193" s="6" t="str">
        <f aca="false">'Payroll Register'!A193</f>
        <v>E1009</v>
      </c>
      <c r="B193" s="6" t="str">
        <f aca="false">'Payroll Register'!B193</f>
        <v>Employee 010</v>
      </c>
      <c r="C193" s="6" t="str">
        <f aca="false">'Payroll Register'!D193</f>
        <v>2026-06-22 to 2026-06-28</v>
      </c>
      <c r="D193" s="6" t="str">
        <f aca="false">'Payroll Register'!E193</f>
        <v>Regular</v>
      </c>
      <c r="E193" s="7" t="n">
        <f aca="false">ROUND('Payroll Register'!F193*'Payroll Register'!G193,2)</f>
        <v>814.69</v>
      </c>
      <c r="F193" s="7" t="n">
        <f aca="false">'Payroll Register'!H193</f>
        <v>814.69</v>
      </c>
      <c r="G193" s="7" t="n">
        <f aca="false">ROUND(F193-E193,2)</f>
        <v>0</v>
      </c>
      <c r="H193" s="6" t="str">
        <f aca="false">IF(COUNTIFS(A$2:A$247,A193,C$2:C$247,C193)&gt;1,"DUPLICATE - REVIEW","OK")</f>
        <v>OK</v>
      </c>
      <c r="I193" s="6" t="str">
        <f aca="false">IF(D193&lt;&gt;"Regular","Off-Cycle - See Register",IF(H193="DUPLICATE - REVIEW","Duplicate Payment",IF(ABS(G193)&gt;0.01,"Gross Pay Discrepancy","Clear")))</f>
        <v>Clear</v>
      </c>
    </row>
    <row r="194" customFormat="false" ht="15" hidden="false" customHeight="false" outlineLevel="0" collapsed="false">
      <c r="A194" s="6" t="str">
        <f aca="false">'Payroll Register'!A194</f>
        <v>E1010</v>
      </c>
      <c r="B194" s="6" t="str">
        <f aca="false">'Payroll Register'!B194</f>
        <v>Employee 011</v>
      </c>
      <c r="C194" s="6" t="str">
        <f aca="false">'Payroll Register'!D194</f>
        <v>2026-06-22 to 2026-06-28</v>
      </c>
      <c r="D194" s="6" t="str">
        <f aca="false">'Payroll Register'!E194</f>
        <v>Regular</v>
      </c>
      <c r="E194" s="7" t="n">
        <f aca="false">ROUND('Payroll Register'!F194*'Payroll Register'!G194,2)</f>
        <v>822.69</v>
      </c>
      <c r="F194" s="7" t="n">
        <f aca="false">'Payroll Register'!H194</f>
        <v>822.69</v>
      </c>
      <c r="G194" s="7" t="n">
        <f aca="false">ROUND(F194-E194,2)</f>
        <v>0</v>
      </c>
      <c r="H194" s="6" t="str">
        <f aca="false">IF(COUNTIFS(A$2:A$247,A194,C$2:C$247,C194)&gt;1,"DUPLICATE - REVIEW","OK")</f>
        <v>OK</v>
      </c>
      <c r="I194" s="6" t="str">
        <f aca="false">IF(D194&lt;&gt;"Regular","Off-Cycle - See Register",IF(H194="DUPLICATE - REVIEW","Duplicate Payment",IF(ABS(G194)&gt;0.01,"Gross Pay Discrepancy","Clear")))</f>
        <v>Clear</v>
      </c>
    </row>
    <row r="195" customFormat="false" ht="15" hidden="false" customHeight="false" outlineLevel="0" collapsed="false">
      <c r="A195" s="6" t="str">
        <f aca="false">'Payroll Register'!A195</f>
        <v>E1011</v>
      </c>
      <c r="B195" s="6" t="str">
        <f aca="false">'Payroll Register'!B195</f>
        <v>Employee 012</v>
      </c>
      <c r="C195" s="6" t="str">
        <f aca="false">'Payroll Register'!D195</f>
        <v>2026-06-22 to 2026-06-28</v>
      </c>
      <c r="D195" s="6" t="str">
        <f aca="false">'Payroll Register'!E195</f>
        <v>Regular</v>
      </c>
      <c r="E195" s="7" t="n">
        <f aca="false">ROUND('Payroll Register'!F195*'Payroll Register'!G195,2)</f>
        <v>812.37</v>
      </c>
      <c r="F195" s="7" t="n">
        <f aca="false">'Payroll Register'!H195</f>
        <v>812.37</v>
      </c>
      <c r="G195" s="7" t="n">
        <f aca="false">ROUND(F195-E195,2)</f>
        <v>0</v>
      </c>
      <c r="H195" s="6" t="str">
        <f aca="false">IF(COUNTIFS(A$2:A$247,A195,C$2:C$247,C195)&gt;1,"DUPLICATE - REVIEW","OK")</f>
        <v>OK</v>
      </c>
      <c r="I195" s="6" t="str">
        <f aca="false">IF(D195&lt;&gt;"Regular","Off-Cycle - See Register",IF(H195="DUPLICATE - REVIEW","Duplicate Payment",IF(ABS(G195)&gt;0.01,"Gross Pay Discrepancy","Clear")))</f>
        <v>Clear</v>
      </c>
    </row>
    <row r="196" customFormat="false" ht="15" hidden="false" customHeight="false" outlineLevel="0" collapsed="false">
      <c r="A196" s="6" t="str">
        <f aca="false">'Payroll Register'!A196</f>
        <v>E1012</v>
      </c>
      <c r="B196" s="6" t="str">
        <f aca="false">'Payroll Register'!B196</f>
        <v>Employee 013</v>
      </c>
      <c r="C196" s="6" t="str">
        <f aca="false">'Payroll Register'!D196</f>
        <v>2026-06-22 to 2026-06-28</v>
      </c>
      <c r="D196" s="6" t="str">
        <f aca="false">'Payroll Register'!E196</f>
        <v>Regular</v>
      </c>
      <c r="E196" s="7" t="n">
        <f aca="false">ROUND('Payroll Register'!F196*'Payroll Register'!G196,2)</f>
        <v>443.85</v>
      </c>
      <c r="F196" s="7" t="n">
        <f aca="false">'Payroll Register'!H196</f>
        <v>443.85</v>
      </c>
      <c r="G196" s="7" t="n">
        <f aca="false">ROUND(F196-E196,2)</f>
        <v>0</v>
      </c>
      <c r="H196" s="6" t="str">
        <f aca="false">IF(COUNTIFS(A$2:A$247,A196,C$2:C$247,C196)&gt;1,"DUPLICATE - REVIEW","OK")</f>
        <v>OK</v>
      </c>
      <c r="I196" s="6" t="str">
        <f aca="false">IF(D196&lt;&gt;"Regular","Off-Cycle - See Register",IF(H196="DUPLICATE - REVIEW","Duplicate Payment",IF(ABS(G196)&gt;0.01,"Gross Pay Discrepancy","Clear")))</f>
        <v>Clear</v>
      </c>
    </row>
    <row r="197" customFormat="false" ht="15" hidden="false" customHeight="false" outlineLevel="0" collapsed="false">
      <c r="A197" s="6" t="str">
        <f aca="false">'Payroll Register'!A197</f>
        <v>E1013</v>
      </c>
      <c r="B197" s="6" t="str">
        <f aca="false">'Payroll Register'!B197</f>
        <v>Employee 014</v>
      </c>
      <c r="C197" s="6" t="str">
        <f aca="false">'Payroll Register'!D197</f>
        <v>2026-06-22 to 2026-06-28</v>
      </c>
      <c r="D197" s="6" t="str">
        <f aca="false">'Payroll Register'!E197</f>
        <v>Regular</v>
      </c>
      <c r="E197" s="7" t="n">
        <f aca="false">ROUND('Payroll Register'!F197*'Payroll Register'!G197,2)</f>
        <v>444.22</v>
      </c>
      <c r="F197" s="7" t="n">
        <f aca="false">'Payroll Register'!H197</f>
        <v>444.22</v>
      </c>
      <c r="G197" s="7" t="n">
        <f aca="false">ROUND(F197-E197,2)</f>
        <v>0</v>
      </c>
      <c r="H197" s="6" t="str">
        <f aca="false">IF(COUNTIFS(A$2:A$247,A197,C$2:C$247,C197)&gt;1,"DUPLICATE - REVIEW","OK")</f>
        <v>OK</v>
      </c>
      <c r="I197" s="6" t="str">
        <f aca="false">IF(D197&lt;&gt;"Regular","Off-Cycle - See Register",IF(H197="DUPLICATE - REVIEW","Duplicate Payment",IF(ABS(G197)&gt;0.01,"Gross Pay Discrepancy","Clear")))</f>
        <v>Clear</v>
      </c>
    </row>
    <row r="198" customFormat="false" ht="15" hidden="false" customHeight="false" outlineLevel="0" collapsed="false">
      <c r="A198" s="6" t="str">
        <f aca="false">'Payroll Register'!A198</f>
        <v>E1014</v>
      </c>
      <c r="B198" s="6" t="str">
        <f aca="false">'Payroll Register'!B198</f>
        <v>Employee 015</v>
      </c>
      <c r="C198" s="6" t="str">
        <f aca="false">'Payroll Register'!D198</f>
        <v>2026-06-22 to 2026-06-28</v>
      </c>
      <c r="D198" s="6" t="str">
        <f aca="false">'Payroll Register'!E198</f>
        <v>Regular</v>
      </c>
      <c r="E198" s="7" t="n">
        <f aca="false">ROUND('Payroll Register'!F198*'Payroll Register'!G198,2)</f>
        <v>427.53</v>
      </c>
      <c r="F198" s="7" t="n">
        <f aca="false">'Payroll Register'!H198</f>
        <v>427.53</v>
      </c>
      <c r="G198" s="7" t="n">
        <f aca="false">ROUND(F198-E198,2)</f>
        <v>0</v>
      </c>
      <c r="H198" s="6" t="str">
        <f aca="false">IF(COUNTIFS(A$2:A$247,A198,C$2:C$247,C198)&gt;1,"DUPLICATE - REVIEW","OK")</f>
        <v>OK</v>
      </c>
      <c r="I198" s="6" t="str">
        <f aca="false">IF(D198&lt;&gt;"Regular","Off-Cycle - See Register",IF(H198="DUPLICATE - REVIEW","Duplicate Payment",IF(ABS(G198)&gt;0.01,"Gross Pay Discrepancy","Clear")))</f>
        <v>Clear</v>
      </c>
    </row>
    <row r="199" customFormat="false" ht="15" hidden="false" customHeight="false" outlineLevel="0" collapsed="false">
      <c r="A199" s="6" t="str">
        <f aca="false">'Payroll Register'!A199</f>
        <v>E1015</v>
      </c>
      <c r="B199" s="6" t="str">
        <f aca="false">'Payroll Register'!B199</f>
        <v>Employee 016</v>
      </c>
      <c r="C199" s="6" t="str">
        <f aca="false">'Payroll Register'!D199</f>
        <v>2026-06-22 to 2026-06-28</v>
      </c>
      <c r="D199" s="6" t="str">
        <f aca="false">'Payroll Register'!E199</f>
        <v>Regular</v>
      </c>
      <c r="E199" s="7" t="n">
        <f aca="false">ROUND('Payroll Register'!F199*'Payroll Register'!G199,2)</f>
        <v>643.51</v>
      </c>
      <c r="F199" s="7" t="n">
        <f aca="false">'Payroll Register'!H199</f>
        <v>643.51</v>
      </c>
      <c r="G199" s="7" t="n">
        <f aca="false">ROUND(F199-E199,2)</f>
        <v>0</v>
      </c>
      <c r="H199" s="6" t="str">
        <f aca="false">IF(COUNTIFS(A$2:A$247,A199,C$2:C$247,C199)&gt;1,"DUPLICATE - REVIEW","OK")</f>
        <v>OK</v>
      </c>
      <c r="I199" s="6" t="str">
        <f aca="false">IF(D199&lt;&gt;"Regular","Off-Cycle - See Register",IF(H199="DUPLICATE - REVIEW","Duplicate Payment",IF(ABS(G199)&gt;0.01,"Gross Pay Discrepancy","Clear")))</f>
        <v>Clear</v>
      </c>
    </row>
    <row r="200" customFormat="false" ht="15" hidden="false" customHeight="false" outlineLevel="0" collapsed="false">
      <c r="A200" s="6" t="str">
        <f aca="false">'Payroll Register'!A200</f>
        <v>E1016</v>
      </c>
      <c r="B200" s="6" t="str">
        <f aca="false">'Payroll Register'!B200</f>
        <v>Employee 017</v>
      </c>
      <c r="C200" s="6" t="str">
        <f aca="false">'Payroll Register'!D200</f>
        <v>2026-06-22 to 2026-06-28</v>
      </c>
      <c r="D200" s="6" t="str">
        <f aca="false">'Payroll Register'!E200</f>
        <v>Regular</v>
      </c>
      <c r="E200" s="7" t="n">
        <f aca="false">ROUND('Payroll Register'!F200*'Payroll Register'!G200,2)</f>
        <v>591.98</v>
      </c>
      <c r="F200" s="7" t="n">
        <f aca="false">'Payroll Register'!H200</f>
        <v>591.98</v>
      </c>
      <c r="G200" s="7" t="n">
        <f aca="false">ROUND(F200-E200,2)</f>
        <v>0</v>
      </c>
      <c r="H200" s="6" t="str">
        <f aca="false">IF(COUNTIFS(A$2:A$247,A200,C$2:C$247,C200)&gt;1,"DUPLICATE - REVIEW","OK")</f>
        <v>OK</v>
      </c>
      <c r="I200" s="6" t="str">
        <f aca="false">IF(D200&lt;&gt;"Regular","Off-Cycle - See Register",IF(H200="DUPLICATE - REVIEW","Duplicate Payment",IF(ABS(G200)&gt;0.01,"Gross Pay Discrepancy","Clear")))</f>
        <v>Clear</v>
      </c>
    </row>
    <row r="201" customFormat="false" ht="15" hidden="false" customHeight="false" outlineLevel="0" collapsed="false">
      <c r="A201" s="6" t="str">
        <f aca="false">'Payroll Register'!A201</f>
        <v>E1017</v>
      </c>
      <c r="B201" s="6" t="str">
        <f aca="false">'Payroll Register'!B201</f>
        <v>Employee 018</v>
      </c>
      <c r="C201" s="6" t="str">
        <f aca="false">'Payroll Register'!D201</f>
        <v>2026-06-22 to 2026-06-28</v>
      </c>
      <c r="D201" s="6" t="str">
        <f aca="false">'Payroll Register'!E201</f>
        <v>Regular</v>
      </c>
      <c r="E201" s="7" t="n">
        <f aca="false">ROUND('Payroll Register'!F201*'Payroll Register'!G201,2)</f>
        <v>856.14</v>
      </c>
      <c r="F201" s="7" t="n">
        <f aca="false">'Payroll Register'!H201</f>
        <v>856.14</v>
      </c>
      <c r="G201" s="7" t="n">
        <f aca="false">ROUND(F201-E201,2)</f>
        <v>0</v>
      </c>
      <c r="H201" s="6" t="str">
        <f aca="false">IF(COUNTIFS(A$2:A$247,A201,C$2:C$247,C201)&gt;1,"DUPLICATE - REVIEW","OK")</f>
        <v>OK</v>
      </c>
      <c r="I201" s="6" t="str">
        <f aca="false">IF(D201&lt;&gt;"Regular","Off-Cycle - See Register",IF(H201="DUPLICATE - REVIEW","Duplicate Payment",IF(ABS(G201)&gt;0.01,"Gross Pay Discrepancy","Clear")))</f>
        <v>Clear</v>
      </c>
    </row>
    <row r="202" customFormat="false" ht="15" hidden="false" customHeight="false" outlineLevel="0" collapsed="false">
      <c r="A202" s="6" t="str">
        <f aca="false">'Payroll Register'!A202</f>
        <v>E1018</v>
      </c>
      <c r="B202" s="6" t="str">
        <f aca="false">'Payroll Register'!B202</f>
        <v>Employee 019</v>
      </c>
      <c r="C202" s="6" t="str">
        <f aca="false">'Payroll Register'!D202</f>
        <v>2026-06-22 to 2026-06-28</v>
      </c>
      <c r="D202" s="6" t="str">
        <f aca="false">'Payroll Register'!E202</f>
        <v>Regular</v>
      </c>
      <c r="E202" s="7" t="n">
        <f aca="false">ROUND('Payroll Register'!F202*'Payroll Register'!G202,2)</f>
        <v>548.45</v>
      </c>
      <c r="F202" s="7" t="n">
        <f aca="false">'Payroll Register'!H202</f>
        <v>548.45</v>
      </c>
      <c r="G202" s="7" t="n">
        <f aca="false">ROUND(F202-E202,2)</f>
        <v>0</v>
      </c>
      <c r="H202" s="6" t="str">
        <f aca="false">IF(COUNTIFS(A$2:A$247,A202,C$2:C$247,C202)&gt;1,"DUPLICATE - REVIEW","OK")</f>
        <v>OK</v>
      </c>
      <c r="I202" s="6" t="str">
        <f aca="false">IF(D202&lt;&gt;"Regular","Off-Cycle - See Register",IF(H202="DUPLICATE - REVIEW","Duplicate Payment",IF(ABS(G202)&gt;0.01,"Gross Pay Discrepancy","Clear")))</f>
        <v>Clear</v>
      </c>
    </row>
    <row r="203" customFormat="false" ht="15" hidden="false" customHeight="false" outlineLevel="0" collapsed="false">
      <c r="A203" s="6" t="str">
        <f aca="false">'Payroll Register'!A203</f>
        <v>E1019</v>
      </c>
      <c r="B203" s="6" t="str">
        <f aca="false">'Payroll Register'!B203</f>
        <v>Employee 020</v>
      </c>
      <c r="C203" s="6" t="str">
        <f aca="false">'Payroll Register'!D203</f>
        <v>2026-06-22 to 2026-06-28</v>
      </c>
      <c r="D203" s="6" t="str">
        <f aca="false">'Payroll Register'!E203</f>
        <v>Regular</v>
      </c>
      <c r="E203" s="7" t="n">
        <f aca="false">ROUND('Payroll Register'!F203*'Payroll Register'!G203,2)</f>
        <v>929.22</v>
      </c>
      <c r="F203" s="7" t="n">
        <f aca="false">'Payroll Register'!H203</f>
        <v>929.22</v>
      </c>
      <c r="G203" s="7" t="n">
        <f aca="false">ROUND(F203-E203,2)</f>
        <v>0</v>
      </c>
      <c r="H203" s="6" t="str">
        <f aca="false">IF(COUNTIFS(A$2:A$247,A203,C$2:C$247,C203)&gt;1,"DUPLICATE - REVIEW","OK")</f>
        <v>OK</v>
      </c>
      <c r="I203" s="6" t="str">
        <f aca="false">IF(D203&lt;&gt;"Regular","Off-Cycle - See Register",IF(H203="DUPLICATE - REVIEW","Duplicate Payment",IF(ABS(G203)&gt;0.01,"Gross Pay Discrepancy","Clear")))</f>
        <v>Clear</v>
      </c>
    </row>
    <row r="204" customFormat="false" ht="15" hidden="false" customHeight="false" outlineLevel="0" collapsed="false">
      <c r="A204" s="6" t="str">
        <f aca="false">'Payroll Register'!A204</f>
        <v>E1020</v>
      </c>
      <c r="B204" s="6" t="str">
        <f aca="false">'Payroll Register'!B204</f>
        <v>Employee 021</v>
      </c>
      <c r="C204" s="6" t="str">
        <f aca="false">'Payroll Register'!D204</f>
        <v>2026-06-22 to 2026-06-28</v>
      </c>
      <c r="D204" s="6" t="str">
        <f aca="false">'Payroll Register'!E204</f>
        <v>Regular</v>
      </c>
      <c r="E204" s="7" t="n">
        <f aca="false">ROUND('Payroll Register'!F204*'Payroll Register'!G204,2)</f>
        <v>444.12</v>
      </c>
      <c r="F204" s="7" t="n">
        <f aca="false">'Payroll Register'!H204</f>
        <v>444.12</v>
      </c>
      <c r="G204" s="7" t="n">
        <f aca="false">ROUND(F204-E204,2)</f>
        <v>0</v>
      </c>
      <c r="H204" s="6" t="str">
        <f aca="false">IF(COUNTIFS(A$2:A$247,A204,C$2:C$247,C204)&gt;1,"DUPLICATE - REVIEW","OK")</f>
        <v>OK</v>
      </c>
      <c r="I204" s="6" t="str">
        <f aca="false">IF(D204&lt;&gt;"Regular","Off-Cycle - See Register",IF(H204="DUPLICATE - REVIEW","Duplicate Payment",IF(ABS(G204)&gt;0.01,"Gross Pay Discrepancy","Clear")))</f>
        <v>Clear</v>
      </c>
    </row>
    <row r="205" customFormat="false" ht="15" hidden="false" customHeight="false" outlineLevel="0" collapsed="false">
      <c r="A205" s="6" t="str">
        <f aca="false">'Payroll Register'!A205</f>
        <v>E1021</v>
      </c>
      <c r="B205" s="6" t="str">
        <f aca="false">'Payroll Register'!B205</f>
        <v>Employee 022</v>
      </c>
      <c r="C205" s="6" t="str">
        <f aca="false">'Payroll Register'!D205</f>
        <v>2026-06-22 to 2026-06-28</v>
      </c>
      <c r="D205" s="6" t="str">
        <f aca="false">'Payroll Register'!E205</f>
        <v>Regular</v>
      </c>
      <c r="E205" s="7" t="n">
        <f aca="false">ROUND('Payroll Register'!F205*'Payroll Register'!G205,2)</f>
        <v>672.01</v>
      </c>
      <c r="F205" s="7" t="n">
        <f aca="false">'Payroll Register'!H205</f>
        <v>672.01</v>
      </c>
      <c r="G205" s="7" t="n">
        <f aca="false">ROUND(F205-E205,2)</f>
        <v>0</v>
      </c>
      <c r="H205" s="6" t="str">
        <f aca="false">IF(COUNTIFS(A$2:A$247,A205,C$2:C$247,C205)&gt;1,"DUPLICATE - REVIEW","OK")</f>
        <v>OK</v>
      </c>
      <c r="I205" s="6" t="str">
        <f aca="false">IF(D205&lt;&gt;"Regular","Off-Cycle - See Register",IF(H205="DUPLICATE - REVIEW","Duplicate Payment",IF(ABS(G205)&gt;0.01,"Gross Pay Discrepancy","Clear")))</f>
        <v>Clear</v>
      </c>
    </row>
    <row r="206" customFormat="false" ht="15" hidden="false" customHeight="false" outlineLevel="0" collapsed="false">
      <c r="A206" s="6" t="str">
        <f aca="false">'Payroll Register'!A206</f>
        <v>E1022</v>
      </c>
      <c r="B206" s="6" t="str">
        <f aca="false">'Payroll Register'!B206</f>
        <v>Employee 023</v>
      </c>
      <c r="C206" s="6" t="str">
        <f aca="false">'Payroll Register'!D206</f>
        <v>2026-06-22 to 2026-06-28</v>
      </c>
      <c r="D206" s="6" t="str">
        <f aca="false">'Payroll Register'!E206</f>
        <v>Regular</v>
      </c>
      <c r="E206" s="7" t="n">
        <f aca="false">ROUND('Payroll Register'!F206*'Payroll Register'!G206,2)</f>
        <v>527.45</v>
      </c>
      <c r="F206" s="7" t="n">
        <f aca="false">'Payroll Register'!H206</f>
        <v>527.45</v>
      </c>
      <c r="G206" s="7" t="n">
        <f aca="false">ROUND(F206-E206,2)</f>
        <v>0</v>
      </c>
      <c r="H206" s="6" t="str">
        <f aca="false">IF(COUNTIFS(A$2:A$247,A206,C$2:C$247,C206)&gt;1,"DUPLICATE - REVIEW","OK")</f>
        <v>OK</v>
      </c>
      <c r="I206" s="6" t="str">
        <f aca="false">IF(D206&lt;&gt;"Regular","Off-Cycle - See Register",IF(H206="DUPLICATE - REVIEW","Duplicate Payment",IF(ABS(G206)&gt;0.01,"Gross Pay Discrepancy","Clear")))</f>
        <v>Clear</v>
      </c>
    </row>
    <row r="207" customFormat="false" ht="15" hidden="false" customHeight="false" outlineLevel="0" collapsed="false">
      <c r="A207" s="6" t="str">
        <f aca="false">'Payroll Register'!A207</f>
        <v>E1023</v>
      </c>
      <c r="B207" s="6" t="str">
        <f aca="false">'Payroll Register'!B207</f>
        <v>Employee 024</v>
      </c>
      <c r="C207" s="6" t="str">
        <f aca="false">'Payroll Register'!D207</f>
        <v>2026-06-22 to 2026-06-28</v>
      </c>
      <c r="D207" s="6" t="str">
        <f aca="false">'Payroll Register'!E207</f>
        <v>Regular</v>
      </c>
      <c r="E207" s="7" t="n">
        <f aca="false">ROUND('Payroll Register'!F207*'Payroll Register'!G207,2)</f>
        <v>1055.07</v>
      </c>
      <c r="F207" s="7" t="n">
        <f aca="false">'Payroll Register'!H207</f>
        <v>1055.07</v>
      </c>
      <c r="G207" s="7" t="n">
        <f aca="false">ROUND(F207-E207,2)</f>
        <v>0</v>
      </c>
      <c r="H207" s="6" t="str">
        <f aca="false">IF(COUNTIFS(A$2:A$247,A207,C$2:C$247,C207)&gt;1,"DUPLICATE - REVIEW","OK")</f>
        <v>OK</v>
      </c>
      <c r="I207" s="6" t="str">
        <f aca="false">IF(D207&lt;&gt;"Regular","Off-Cycle - See Register",IF(H207="DUPLICATE - REVIEW","Duplicate Payment",IF(ABS(G207)&gt;0.01,"Gross Pay Discrepancy","Clear")))</f>
        <v>Clear</v>
      </c>
    </row>
    <row r="208" customFormat="false" ht="15" hidden="false" customHeight="false" outlineLevel="0" collapsed="false">
      <c r="A208" s="6" t="str">
        <f aca="false">'Payroll Register'!A208</f>
        <v>E1024</v>
      </c>
      <c r="B208" s="6" t="str">
        <f aca="false">'Payroll Register'!B208</f>
        <v>Employee 025</v>
      </c>
      <c r="C208" s="6" t="str">
        <f aca="false">'Payroll Register'!D208</f>
        <v>2026-06-22 to 2026-06-28</v>
      </c>
      <c r="D208" s="6" t="str">
        <f aca="false">'Payroll Register'!E208</f>
        <v>Regular</v>
      </c>
      <c r="E208" s="7" t="n">
        <f aca="false">ROUND('Payroll Register'!F208*'Payroll Register'!G208,2)</f>
        <v>269.65</v>
      </c>
      <c r="F208" s="7" t="n">
        <f aca="false">'Payroll Register'!H208</f>
        <v>269.65</v>
      </c>
      <c r="G208" s="7" t="n">
        <f aca="false">ROUND(F208-E208,2)</f>
        <v>0</v>
      </c>
      <c r="H208" s="6" t="str">
        <f aca="false">IF(COUNTIFS(A$2:A$247,A208,C$2:C$247,C208)&gt;1,"DUPLICATE - REVIEW","OK")</f>
        <v>OK</v>
      </c>
      <c r="I208" s="6" t="str">
        <f aca="false">IF(D208&lt;&gt;"Regular","Off-Cycle - See Register",IF(H208="DUPLICATE - REVIEW","Duplicate Payment",IF(ABS(G208)&gt;0.01,"Gross Pay Discrepancy","Clear")))</f>
        <v>Clear</v>
      </c>
    </row>
    <row r="209" customFormat="false" ht="15" hidden="false" customHeight="false" outlineLevel="0" collapsed="false">
      <c r="A209" s="6" t="str">
        <f aca="false">'Payroll Register'!A209</f>
        <v>E1025</v>
      </c>
      <c r="B209" s="6" t="str">
        <f aca="false">'Payroll Register'!B209</f>
        <v>Employee 026</v>
      </c>
      <c r="C209" s="6" t="str">
        <f aca="false">'Payroll Register'!D209</f>
        <v>2026-06-22 to 2026-06-28</v>
      </c>
      <c r="D209" s="6" t="str">
        <f aca="false">'Payroll Register'!E209</f>
        <v>Regular</v>
      </c>
      <c r="E209" s="7" t="n">
        <f aca="false">ROUND('Payroll Register'!F209*'Payroll Register'!G209,2)</f>
        <v>626.15</v>
      </c>
      <c r="F209" s="7" t="n">
        <f aca="false">'Payroll Register'!H209</f>
        <v>626.14</v>
      </c>
      <c r="G209" s="7" t="n">
        <f aca="false">ROUND(F209-E209,2)</f>
        <v>-0.01</v>
      </c>
      <c r="H209" s="6" t="str">
        <f aca="false">IF(COUNTIFS(A$2:A$247,A209,C$2:C$247,C209)&gt;1,"DUPLICATE - REVIEW","OK")</f>
        <v>OK</v>
      </c>
      <c r="I209" s="6" t="str">
        <f aca="false">IF(D209&lt;&gt;"Regular","Off-Cycle - See Register",IF(H209="DUPLICATE - REVIEW","Duplicate Payment",IF(ABS(G209)&gt;0.01,"Gross Pay Discrepancy","Clear")))</f>
        <v>Clear</v>
      </c>
    </row>
    <row r="210" customFormat="false" ht="15" hidden="false" customHeight="false" outlineLevel="0" collapsed="false">
      <c r="A210" s="6" t="str">
        <f aca="false">'Payroll Register'!A210</f>
        <v>E1026</v>
      </c>
      <c r="B210" s="6" t="str">
        <f aca="false">'Payroll Register'!B210</f>
        <v>Employee 027</v>
      </c>
      <c r="C210" s="6" t="str">
        <f aca="false">'Payroll Register'!D210</f>
        <v>2026-06-22 to 2026-06-28</v>
      </c>
      <c r="D210" s="6" t="str">
        <f aca="false">'Payroll Register'!E210</f>
        <v>Regular</v>
      </c>
      <c r="E210" s="7" t="n">
        <f aca="false">ROUND('Payroll Register'!F210*'Payroll Register'!G210,2)</f>
        <v>405.72</v>
      </c>
      <c r="F210" s="7" t="n">
        <f aca="false">'Payroll Register'!H210</f>
        <v>405.72</v>
      </c>
      <c r="G210" s="7" t="n">
        <f aca="false">ROUND(F210-E210,2)</f>
        <v>0</v>
      </c>
      <c r="H210" s="6" t="str">
        <f aca="false">IF(COUNTIFS(A$2:A$247,A210,C$2:C$247,C210)&gt;1,"DUPLICATE - REVIEW","OK")</f>
        <v>OK</v>
      </c>
      <c r="I210" s="6" t="str">
        <f aca="false">IF(D210&lt;&gt;"Regular","Off-Cycle - See Register",IF(H210="DUPLICATE - REVIEW","Duplicate Payment",IF(ABS(G210)&gt;0.01,"Gross Pay Discrepancy","Clear")))</f>
        <v>Clear</v>
      </c>
    </row>
    <row r="211" customFormat="false" ht="15" hidden="false" customHeight="false" outlineLevel="0" collapsed="false">
      <c r="A211" s="6" t="str">
        <f aca="false">'Payroll Register'!A211</f>
        <v>E1027</v>
      </c>
      <c r="B211" s="6" t="str">
        <f aca="false">'Payroll Register'!B211</f>
        <v>Employee 028</v>
      </c>
      <c r="C211" s="6" t="str">
        <f aca="false">'Payroll Register'!D211</f>
        <v>2026-06-22 to 2026-06-28</v>
      </c>
      <c r="D211" s="6" t="str">
        <f aca="false">'Payroll Register'!E211</f>
        <v>Regular</v>
      </c>
      <c r="E211" s="7" t="n">
        <f aca="false">ROUND('Payroll Register'!F211*'Payroll Register'!G211,2)</f>
        <v>697.76</v>
      </c>
      <c r="F211" s="7" t="n">
        <f aca="false">'Payroll Register'!H211</f>
        <v>697.76</v>
      </c>
      <c r="G211" s="7" t="n">
        <f aca="false">ROUND(F211-E211,2)</f>
        <v>0</v>
      </c>
      <c r="H211" s="6" t="str">
        <f aca="false">IF(COUNTIFS(A$2:A$247,A211,C$2:C$247,C211)&gt;1,"DUPLICATE - REVIEW","OK")</f>
        <v>OK</v>
      </c>
      <c r="I211" s="6" t="str">
        <f aca="false">IF(D211&lt;&gt;"Regular","Off-Cycle - See Register",IF(H211="DUPLICATE - REVIEW","Duplicate Payment",IF(ABS(G211)&gt;0.01,"Gross Pay Discrepancy","Clear")))</f>
        <v>Clear</v>
      </c>
    </row>
    <row r="212" customFormat="false" ht="15" hidden="false" customHeight="false" outlineLevel="0" collapsed="false">
      <c r="A212" s="6" t="str">
        <f aca="false">'Payroll Register'!A212</f>
        <v>E1028</v>
      </c>
      <c r="B212" s="6" t="str">
        <f aca="false">'Payroll Register'!B212</f>
        <v>Employee 029</v>
      </c>
      <c r="C212" s="6" t="str">
        <f aca="false">'Payroll Register'!D212</f>
        <v>2026-06-22 to 2026-06-28</v>
      </c>
      <c r="D212" s="6" t="str">
        <f aca="false">'Payroll Register'!E212</f>
        <v>Regular</v>
      </c>
      <c r="E212" s="7" t="n">
        <f aca="false">ROUND('Payroll Register'!F212*'Payroll Register'!G212,2)</f>
        <v>539.86</v>
      </c>
      <c r="F212" s="7" t="n">
        <f aca="false">'Payroll Register'!H212</f>
        <v>539.86</v>
      </c>
      <c r="G212" s="7" t="n">
        <f aca="false">ROUND(F212-E212,2)</f>
        <v>0</v>
      </c>
      <c r="H212" s="6" t="str">
        <f aca="false">IF(COUNTIFS(A$2:A$247,A212,C$2:C$247,C212)&gt;1,"DUPLICATE - REVIEW","OK")</f>
        <v>OK</v>
      </c>
      <c r="I212" s="6" t="str">
        <f aca="false">IF(D212&lt;&gt;"Regular","Off-Cycle - See Register",IF(H212="DUPLICATE - REVIEW","Duplicate Payment",IF(ABS(G212)&gt;0.01,"Gross Pay Discrepancy","Clear")))</f>
        <v>Clear</v>
      </c>
    </row>
    <row r="213" customFormat="false" ht="15" hidden="false" customHeight="false" outlineLevel="0" collapsed="false">
      <c r="A213" s="6" t="str">
        <f aca="false">'Payroll Register'!A213</f>
        <v>E1029</v>
      </c>
      <c r="B213" s="6" t="str">
        <f aca="false">'Payroll Register'!B213</f>
        <v>Employee 030</v>
      </c>
      <c r="C213" s="6" t="str">
        <f aca="false">'Payroll Register'!D213</f>
        <v>2026-06-22 to 2026-06-28</v>
      </c>
      <c r="D213" s="6" t="str">
        <f aca="false">'Payroll Register'!E213</f>
        <v>Regular</v>
      </c>
      <c r="E213" s="7" t="n">
        <f aca="false">ROUND('Payroll Register'!F213*'Payroll Register'!G213,2)</f>
        <v>642.73</v>
      </c>
      <c r="F213" s="7" t="n">
        <f aca="false">'Payroll Register'!H213</f>
        <v>642.73</v>
      </c>
      <c r="G213" s="7" t="n">
        <f aca="false">ROUND(F213-E213,2)</f>
        <v>0</v>
      </c>
      <c r="H213" s="6" t="str">
        <f aca="false">IF(COUNTIFS(A$2:A$247,A213,C$2:C$247,C213)&gt;1,"DUPLICATE - REVIEW","OK")</f>
        <v>OK</v>
      </c>
      <c r="I213" s="6" t="str">
        <f aca="false">IF(D213&lt;&gt;"Regular","Off-Cycle - See Register",IF(H213="DUPLICATE - REVIEW","Duplicate Payment",IF(ABS(G213)&gt;0.01,"Gross Pay Discrepancy","Clear")))</f>
        <v>Clear</v>
      </c>
    </row>
    <row r="214" customFormat="false" ht="15" hidden="false" customHeight="false" outlineLevel="0" collapsed="false">
      <c r="A214" s="6" t="str">
        <f aca="false">'Payroll Register'!A214</f>
        <v>E1030</v>
      </c>
      <c r="B214" s="6" t="str">
        <f aca="false">'Payroll Register'!B214</f>
        <v>Employee 031</v>
      </c>
      <c r="C214" s="6" t="str">
        <f aca="false">'Payroll Register'!D214</f>
        <v>2026-06-22 to 2026-06-28</v>
      </c>
      <c r="D214" s="6" t="str">
        <f aca="false">'Payroll Register'!E214</f>
        <v>Regular</v>
      </c>
      <c r="E214" s="7" t="n">
        <f aca="false">ROUND('Payroll Register'!F214*'Payroll Register'!G214,2)</f>
        <v>299.14</v>
      </c>
      <c r="F214" s="7" t="n">
        <f aca="false">'Payroll Register'!H214</f>
        <v>299.14</v>
      </c>
      <c r="G214" s="7" t="n">
        <f aca="false">ROUND(F214-E214,2)</f>
        <v>0</v>
      </c>
      <c r="H214" s="6" t="str">
        <f aca="false">IF(COUNTIFS(A$2:A$247,A214,C$2:C$247,C214)&gt;1,"DUPLICATE - REVIEW","OK")</f>
        <v>OK</v>
      </c>
      <c r="I214" s="6" t="str">
        <f aca="false">IF(D214&lt;&gt;"Regular","Off-Cycle - See Register",IF(H214="DUPLICATE - REVIEW","Duplicate Payment",IF(ABS(G214)&gt;0.01,"Gross Pay Discrepancy","Clear")))</f>
        <v>Clear</v>
      </c>
    </row>
    <row r="215" customFormat="false" ht="15" hidden="false" customHeight="false" outlineLevel="0" collapsed="false">
      <c r="A215" s="6" t="str">
        <f aca="false">'Payroll Register'!A215</f>
        <v>E1031</v>
      </c>
      <c r="B215" s="6" t="str">
        <f aca="false">'Payroll Register'!B215</f>
        <v>Employee 032</v>
      </c>
      <c r="C215" s="6" t="str">
        <f aca="false">'Payroll Register'!D215</f>
        <v>2026-06-22 to 2026-06-28</v>
      </c>
      <c r="D215" s="6" t="str">
        <f aca="false">'Payroll Register'!E215</f>
        <v>Regular</v>
      </c>
      <c r="E215" s="7" t="n">
        <f aca="false">ROUND('Payroll Register'!F215*'Payroll Register'!G215,2)</f>
        <v>789.02</v>
      </c>
      <c r="F215" s="7" t="n">
        <f aca="false">'Payroll Register'!H215</f>
        <v>789.02</v>
      </c>
      <c r="G215" s="7" t="n">
        <f aca="false">ROUND(F215-E215,2)</f>
        <v>0</v>
      </c>
      <c r="H215" s="6" t="str">
        <f aca="false">IF(COUNTIFS(A$2:A$247,A215,C$2:C$247,C215)&gt;1,"DUPLICATE - REVIEW","OK")</f>
        <v>OK</v>
      </c>
      <c r="I215" s="6" t="str">
        <f aca="false">IF(D215&lt;&gt;"Regular","Off-Cycle - See Register",IF(H215="DUPLICATE - REVIEW","Duplicate Payment",IF(ABS(G215)&gt;0.01,"Gross Pay Discrepancy","Clear")))</f>
        <v>Clear</v>
      </c>
    </row>
    <row r="216" customFormat="false" ht="15" hidden="false" customHeight="false" outlineLevel="0" collapsed="false">
      <c r="A216" s="6" t="str">
        <f aca="false">'Payroll Register'!A216</f>
        <v>E1032</v>
      </c>
      <c r="B216" s="6" t="str">
        <f aca="false">'Payroll Register'!B216</f>
        <v>Employee 033</v>
      </c>
      <c r="C216" s="6" t="str">
        <f aca="false">'Payroll Register'!D216</f>
        <v>2026-06-22 to 2026-06-28</v>
      </c>
      <c r="D216" s="6" t="str">
        <f aca="false">'Payroll Register'!E216</f>
        <v>Regular</v>
      </c>
      <c r="E216" s="7" t="n">
        <f aca="false">ROUND('Payroll Register'!F216*'Payroll Register'!G216,2)</f>
        <v>459.54</v>
      </c>
      <c r="F216" s="7" t="n">
        <f aca="false">'Payroll Register'!H216</f>
        <v>459.54</v>
      </c>
      <c r="G216" s="7" t="n">
        <f aca="false">ROUND(F216-E216,2)</f>
        <v>0</v>
      </c>
      <c r="H216" s="6" t="str">
        <f aca="false">IF(COUNTIFS(A$2:A$247,A216,C$2:C$247,C216)&gt;1,"DUPLICATE - REVIEW","OK")</f>
        <v>OK</v>
      </c>
      <c r="I216" s="6" t="str">
        <f aca="false">IF(D216&lt;&gt;"Regular","Off-Cycle - See Register",IF(H216="DUPLICATE - REVIEW","Duplicate Payment",IF(ABS(G216)&gt;0.01,"Gross Pay Discrepancy","Clear")))</f>
        <v>Clear</v>
      </c>
    </row>
    <row r="217" customFormat="false" ht="15" hidden="false" customHeight="false" outlineLevel="0" collapsed="false">
      <c r="A217" s="6" t="str">
        <f aca="false">'Payroll Register'!A217</f>
        <v>E1033</v>
      </c>
      <c r="B217" s="6" t="str">
        <f aca="false">'Payroll Register'!B217</f>
        <v>Employee 034</v>
      </c>
      <c r="C217" s="6" t="str">
        <f aca="false">'Payroll Register'!D217</f>
        <v>2026-06-22 to 2026-06-28</v>
      </c>
      <c r="D217" s="6" t="str">
        <f aca="false">'Payroll Register'!E217</f>
        <v>Regular</v>
      </c>
      <c r="E217" s="7" t="n">
        <f aca="false">ROUND('Payroll Register'!F217*'Payroll Register'!G217,2)</f>
        <v>614.95</v>
      </c>
      <c r="F217" s="7" t="n">
        <f aca="false">'Payroll Register'!H217</f>
        <v>614.95</v>
      </c>
      <c r="G217" s="7" t="n">
        <f aca="false">ROUND(F217-E217,2)</f>
        <v>0</v>
      </c>
      <c r="H217" s="6" t="str">
        <f aca="false">IF(COUNTIFS(A$2:A$247,A217,C$2:C$247,C217)&gt;1,"DUPLICATE - REVIEW","OK")</f>
        <v>OK</v>
      </c>
      <c r="I217" s="6" t="str">
        <f aca="false">IF(D217&lt;&gt;"Regular","Off-Cycle - See Register",IF(H217="DUPLICATE - REVIEW","Duplicate Payment",IF(ABS(G217)&gt;0.01,"Gross Pay Discrepancy","Clear")))</f>
        <v>Clear</v>
      </c>
    </row>
    <row r="218" customFormat="false" ht="15" hidden="false" customHeight="false" outlineLevel="0" collapsed="false">
      <c r="A218" s="6" t="str">
        <f aca="false">'Payroll Register'!A218</f>
        <v>E1034</v>
      </c>
      <c r="B218" s="6" t="str">
        <f aca="false">'Payroll Register'!B218</f>
        <v>Employee 035</v>
      </c>
      <c r="C218" s="6" t="str">
        <f aca="false">'Payroll Register'!D218</f>
        <v>2026-06-22 to 2026-06-28</v>
      </c>
      <c r="D218" s="6" t="str">
        <f aca="false">'Payroll Register'!E218</f>
        <v>Regular</v>
      </c>
      <c r="E218" s="7" t="n">
        <f aca="false">ROUND('Payroll Register'!F218*'Payroll Register'!G218,2)</f>
        <v>550.88</v>
      </c>
      <c r="F218" s="7" t="n">
        <f aca="false">'Payroll Register'!H218</f>
        <v>550.88</v>
      </c>
      <c r="G218" s="7" t="n">
        <f aca="false">ROUND(F218-E218,2)</f>
        <v>0</v>
      </c>
      <c r="H218" s="6" t="str">
        <f aca="false">IF(COUNTIFS(A$2:A$247,A218,C$2:C$247,C218)&gt;1,"DUPLICATE - REVIEW","OK")</f>
        <v>OK</v>
      </c>
      <c r="I218" s="6" t="str">
        <f aca="false">IF(D218&lt;&gt;"Regular","Off-Cycle - See Register",IF(H218="DUPLICATE - REVIEW","Duplicate Payment",IF(ABS(G218)&gt;0.01,"Gross Pay Discrepancy","Clear")))</f>
        <v>Clear</v>
      </c>
    </row>
    <row r="219" customFormat="false" ht="15" hidden="false" customHeight="false" outlineLevel="0" collapsed="false">
      <c r="A219" s="6" t="str">
        <f aca="false">'Payroll Register'!A219</f>
        <v>E1035</v>
      </c>
      <c r="B219" s="6" t="str">
        <f aca="false">'Payroll Register'!B219</f>
        <v>Employee 036</v>
      </c>
      <c r="C219" s="6" t="str">
        <f aca="false">'Payroll Register'!D219</f>
        <v>2026-06-22 to 2026-06-28</v>
      </c>
      <c r="D219" s="6" t="str">
        <f aca="false">'Payroll Register'!E219</f>
        <v>Regular</v>
      </c>
      <c r="E219" s="7" t="n">
        <f aca="false">ROUND('Payroll Register'!F219*'Payroll Register'!G219,2)</f>
        <v>723.83</v>
      </c>
      <c r="F219" s="7" t="n">
        <f aca="false">'Payroll Register'!H219</f>
        <v>723.83</v>
      </c>
      <c r="G219" s="7" t="n">
        <f aca="false">ROUND(F219-E219,2)</f>
        <v>0</v>
      </c>
      <c r="H219" s="6" t="str">
        <f aca="false">IF(COUNTIFS(A$2:A$247,A219,C$2:C$247,C219)&gt;1,"DUPLICATE - REVIEW","OK")</f>
        <v>OK</v>
      </c>
      <c r="I219" s="6" t="str">
        <f aca="false">IF(D219&lt;&gt;"Regular","Off-Cycle - See Register",IF(H219="DUPLICATE - REVIEW","Duplicate Payment",IF(ABS(G219)&gt;0.01,"Gross Pay Discrepancy","Clear")))</f>
        <v>Clear</v>
      </c>
    </row>
    <row r="220" customFormat="false" ht="15" hidden="false" customHeight="false" outlineLevel="0" collapsed="false">
      <c r="A220" s="6" t="str">
        <f aca="false">'Payroll Register'!A220</f>
        <v>E1036</v>
      </c>
      <c r="B220" s="6" t="str">
        <f aca="false">'Payroll Register'!B220</f>
        <v>Employee 037</v>
      </c>
      <c r="C220" s="6" t="str">
        <f aca="false">'Payroll Register'!D220</f>
        <v>2026-06-22 to 2026-06-28</v>
      </c>
      <c r="D220" s="6" t="str">
        <f aca="false">'Payroll Register'!E220</f>
        <v>Regular</v>
      </c>
      <c r="E220" s="7" t="n">
        <f aca="false">ROUND('Payroll Register'!F220*'Payroll Register'!G220,2)</f>
        <v>570.44</v>
      </c>
      <c r="F220" s="7" t="n">
        <f aca="false">'Payroll Register'!H220</f>
        <v>570.44</v>
      </c>
      <c r="G220" s="7" t="n">
        <f aca="false">ROUND(F220-E220,2)</f>
        <v>0</v>
      </c>
      <c r="H220" s="6" t="str">
        <f aca="false">IF(COUNTIFS(A$2:A$247,A220,C$2:C$247,C220)&gt;1,"DUPLICATE - REVIEW","OK")</f>
        <v>OK</v>
      </c>
      <c r="I220" s="6" t="str">
        <f aca="false">IF(D220&lt;&gt;"Regular","Off-Cycle - See Register",IF(H220="DUPLICATE - REVIEW","Duplicate Payment",IF(ABS(G220)&gt;0.01,"Gross Pay Discrepancy","Clear")))</f>
        <v>Clear</v>
      </c>
    </row>
    <row r="221" customFormat="false" ht="15" hidden="false" customHeight="false" outlineLevel="0" collapsed="false">
      <c r="A221" s="6" t="str">
        <f aca="false">'Payroll Register'!A221</f>
        <v>E1037</v>
      </c>
      <c r="B221" s="6" t="str">
        <f aca="false">'Payroll Register'!B221</f>
        <v>Employee 038</v>
      </c>
      <c r="C221" s="6" t="str">
        <f aca="false">'Payroll Register'!D221</f>
        <v>2026-06-22 to 2026-06-28</v>
      </c>
      <c r="D221" s="6" t="str">
        <f aca="false">'Payroll Register'!E221</f>
        <v>Regular</v>
      </c>
      <c r="E221" s="7" t="n">
        <f aca="false">ROUND('Payroll Register'!F221*'Payroll Register'!G221,2)</f>
        <v>455.51</v>
      </c>
      <c r="F221" s="7" t="n">
        <f aca="false">'Payroll Register'!H221</f>
        <v>455.51</v>
      </c>
      <c r="G221" s="7" t="n">
        <f aca="false">ROUND(F221-E221,2)</f>
        <v>0</v>
      </c>
      <c r="H221" s="6" t="str">
        <f aca="false">IF(COUNTIFS(A$2:A$247,A221,C$2:C$247,C221)&gt;1,"DUPLICATE - REVIEW","OK")</f>
        <v>OK</v>
      </c>
      <c r="I221" s="6" t="str">
        <f aca="false">IF(D221&lt;&gt;"Regular","Off-Cycle - See Register",IF(H221="DUPLICATE - REVIEW","Duplicate Payment",IF(ABS(G221)&gt;0.01,"Gross Pay Discrepancy","Clear")))</f>
        <v>Clear</v>
      </c>
    </row>
    <row r="222" customFormat="false" ht="15" hidden="false" customHeight="false" outlineLevel="0" collapsed="false">
      <c r="A222" s="6" t="str">
        <f aca="false">'Payroll Register'!A222</f>
        <v>E1038</v>
      </c>
      <c r="B222" s="6" t="str">
        <f aca="false">'Payroll Register'!B222</f>
        <v>Employee 039</v>
      </c>
      <c r="C222" s="6" t="str">
        <f aca="false">'Payroll Register'!D222</f>
        <v>2026-06-22 to 2026-06-28</v>
      </c>
      <c r="D222" s="6" t="str">
        <f aca="false">'Payroll Register'!E222</f>
        <v>Regular</v>
      </c>
      <c r="E222" s="7" t="n">
        <f aca="false">ROUND('Payroll Register'!F222*'Payroll Register'!G222,2)</f>
        <v>565.65</v>
      </c>
      <c r="F222" s="7" t="n">
        <f aca="false">'Payroll Register'!H222</f>
        <v>565.65</v>
      </c>
      <c r="G222" s="7" t="n">
        <f aca="false">ROUND(F222-E222,2)</f>
        <v>0</v>
      </c>
      <c r="H222" s="6" t="str">
        <f aca="false">IF(COUNTIFS(A$2:A$247,A222,C$2:C$247,C222)&gt;1,"DUPLICATE - REVIEW","OK")</f>
        <v>OK</v>
      </c>
      <c r="I222" s="6" t="str">
        <f aca="false">IF(D222&lt;&gt;"Regular","Off-Cycle - See Register",IF(H222="DUPLICATE - REVIEW","Duplicate Payment",IF(ABS(G222)&gt;0.01,"Gross Pay Discrepancy","Clear")))</f>
        <v>Clear</v>
      </c>
    </row>
    <row r="223" customFormat="false" ht="15" hidden="false" customHeight="false" outlineLevel="0" collapsed="false">
      <c r="A223" s="6" t="str">
        <f aca="false">'Payroll Register'!A223</f>
        <v>E1039</v>
      </c>
      <c r="B223" s="6" t="str">
        <f aca="false">'Payroll Register'!B223</f>
        <v>Employee 040</v>
      </c>
      <c r="C223" s="6" t="str">
        <f aca="false">'Payroll Register'!D223</f>
        <v>2026-06-22 to 2026-06-28</v>
      </c>
      <c r="D223" s="6" t="str">
        <f aca="false">'Payroll Register'!E223</f>
        <v>Regular</v>
      </c>
      <c r="E223" s="7" t="n">
        <f aca="false">ROUND('Payroll Register'!F223*'Payroll Register'!G223,2)</f>
        <v>331.62</v>
      </c>
      <c r="F223" s="7" t="n">
        <f aca="false">'Payroll Register'!H223</f>
        <v>331.62</v>
      </c>
      <c r="G223" s="7" t="n">
        <f aca="false">ROUND(F223-E223,2)</f>
        <v>0</v>
      </c>
      <c r="H223" s="6" t="str">
        <f aca="false">IF(COUNTIFS(A$2:A$247,A223,C$2:C$247,C223)&gt;1,"DUPLICATE - REVIEW","OK")</f>
        <v>OK</v>
      </c>
      <c r="I223" s="6" t="str">
        <f aca="false">IF(D223&lt;&gt;"Regular","Off-Cycle - See Register",IF(H223="DUPLICATE - REVIEW","Duplicate Payment",IF(ABS(G223)&gt;0.01,"Gross Pay Discrepancy","Clear")))</f>
        <v>Clear</v>
      </c>
    </row>
    <row r="224" customFormat="false" ht="15" hidden="false" customHeight="false" outlineLevel="0" collapsed="false">
      <c r="A224" s="6" t="str">
        <f aca="false">'Payroll Register'!A224</f>
        <v>E1040</v>
      </c>
      <c r="B224" s="6" t="str">
        <f aca="false">'Payroll Register'!B224</f>
        <v>Employee 041</v>
      </c>
      <c r="C224" s="6" t="str">
        <f aca="false">'Payroll Register'!D224</f>
        <v>2026-06-22 to 2026-06-28</v>
      </c>
      <c r="D224" s="6" t="str">
        <f aca="false">'Payroll Register'!E224</f>
        <v>Regular</v>
      </c>
      <c r="E224" s="7" t="n">
        <f aca="false">ROUND('Payroll Register'!F224*'Payroll Register'!G224,2)</f>
        <v>364.68</v>
      </c>
      <c r="F224" s="7" t="n">
        <f aca="false">'Payroll Register'!H224</f>
        <v>364.68</v>
      </c>
      <c r="G224" s="7" t="n">
        <f aca="false">ROUND(F224-E224,2)</f>
        <v>0</v>
      </c>
      <c r="H224" s="6" t="str">
        <f aca="false">IF(COUNTIFS(A$2:A$247,A224,C$2:C$247,C224)&gt;1,"DUPLICATE - REVIEW","OK")</f>
        <v>OK</v>
      </c>
      <c r="I224" s="6" t="str">
        <f aca="false">IF(D224&lt;&gt;"Regular","Off-Cycle - See Register",IF(H224="DUPLICATE - REVIEW","Duplicate Payment",IF(ABS(G224)&gt;0.01,"Gross Pay Discrepancy","Clear")))</f>
        <v>Clear</v>
      </c>
    </row>
    <row r="225" customFormat="false" ht="15" hidden="false" customHeight="false" outlineLevel="0" collapsed="false">
      <c r="A225" s="6" t="str">
        <f aca="false">'Payroll Register'!A225</f>
        <v>E1041</v>
      </c>
      <c r="B225" s="6" t="str">
        <f aca="false">'Payroll Register'!B225</f>
        <v>Employee 042</v>
      </c>
      <c r="C225" s="6" t="str">
        <f aca="false">'Payroll Register'!D225</f>
        <v>2026-06-22 to 2026-06-28</v>
      </c>
      <c r="D225" s="6" t="str">
        <f aca="false">'Payroll Register'!E225</f>
        <v>Regular</v>
      </c>
      <c r="E225" s="7" t="n">
        <f aca="false">ROUND('Payroll Register'!F225*'Payroll Register'!G225,2)</f>
        <v>560.04</v>
      </c>
      <c r="F225" s="7" t="n">
        <f aca="false">'Payroll Register'!H225</f>
        <v>560.04</v>
      </c>
      <c r="G225" s="7" t="n">
        <f aca="false">ROUND(F225-E225,2)</f>
        <v>0</v>
      </c>
      <c r="H225" s="6" t="str">
        <f aca="false">IF(COUNTIFS(A$2:A$247,A225,C$2:C$247,C225)&gt;1,"DUPLICATE - REVIEW","OK")</f>
        <v>OK</v>
      </c>
      <c r="I225" s="6" t="str">
        <f aca="false">IF(D225&lt;&gt;"Regular","Off-Cycle - See Register",IF(H225="DUPLICATE - REVIEW","Duplicate Payment",IF(ABS(G225)&gt;0.01,"Gross Pay Discrepancy","Clear")))</f>
        <v>Clear</v>
      </c>
    </row>
    <row r="226" customFormat="false" ht="15" hidden="false" customHeight="false" outlineLevel="0" collapsed="false">
      <c r="A226" s="6" t="str">
        <f aca="false">'Payroll Register'!A226</f>
        <v>E1042</v>
      </c>
      <c r="B226" s="6" t="str">
        <f aca="false">'Payroll Register'!B226</f>
        <v>Employee 043</v>
      </c>
      <c r="C226" s="6" t="str">
        <f aca="false">'Payroll Register'!D226</f>
        <v>2026-06-22 to 2026-06-28</v>
      </c>
      <c r="D226" s="6" t="str">
        <f aca="false">'Payroll Register'!E226</f>
        <v>Regular</v>
      </c>
      <c r="E226" s="7" t="n">
        <f aca="false">ROUND('Payroll Register'!F226*'Payroll Register'!G226,2)</f>
        <v>641.52</v>
      </c>
      <c r="F226" s="7" t="n">
        <f aca="false">'Payroll Register'!H226</f>
        <v>641.52</v>
      </c>
      <c r="G226" s="7" t="n">
        <f aca="false">ROUND(F226-E226,2)</f>
        <v>0</v>
      </c>
      <c r="H226" s="6" t="str">
        <f aca="false">IF(COUNTIFS(A$2:A$247,A226,C$2:C$247,C226)&gt;1,"DUPLICATE - REVIEW","OK")</f>
        <v>DUPLICATE - REVIEW</v>
      </c>
      <c r="I226" s="6" t="str">
        <f aca="false">IF(D226&lt;&gt;"Regular","Off-Cycle - See Register",IF(H226="DUPLICATE - REVIEW","Duplicate Payment",IF(ABS(G226)&gt;0.01,"Gross Pay Discrepancy","Clear")))</f>
        <v>Duplicate Payment</v>
      </c>
    </row>
    <row r="227" customFormat="false" ht="15" hidden="false" customHeight="false" outlineLevel="0" collapsed="false">
      <c r="A227" s="6" t="str">
        <f aca="false">'Payroll Register'!A227</f>
        <v>E1043</v>
      </c>
      <c r="B227" s="6" t="str">
        <f aca="false">'Payroll Register'!B227</f>
        <v>Employee 044</v>
      </c>
      <c r="C227" s="6" t="str">
        <f aca="false">'Payroll Register'!D227</f>
        <v>2026-06-22 to 2026-06-28</v>
      </c>
      <c r="D227" s="6" t="str">
        <f aca="false">'Payroll Register'!E227</f>
        <v>Regular</v>
      </c>
      <c r="E227" s="7" t="n">
        <f aca="false">ROUND('Payroll Register'!F227*'Payroll Register'!G227,2)</f>
        <v>521.87</v>
      </c>
      <c r="F227" s="7" t="n">
        <f aca="false">'Payroll Register'!H227</f>
        <v>521.87</v>
      </c>
      <c r="G227" s="7" t="n">
        <f aca="false">ROUND(F227-E227,2)</f>
        <v>0</v>
      </c>
      <c r="H227" s="6" t="str">
        <f aca="false">IF(COUNTIFS(A$2:A$247,A227,C$2:C$247,C227)&gt;1,"DUPLICATE - REVIEW","OK")</f>
        <v>OK</v>
      </c>
      <c r="I227" s="6" t="str">
        <f aca="false">IF(D227&lt;&gt;"Regular","Off-Cycle - See Register",IF(H227="DUPLICATE - REVIEW","Duplicate Payment",IF(ABS(G227)&gt;0.01,"Gross Pay Discrepancy","Clear")))</f>
        <v>Clear</v>
      </c>
    </row>
    <row r="228" customFormat="false" ht="15" hidden="false" customHeight="false" outlineLevel="0" collapsed="false">
      <c r="A228" s="6" t="str">
        <f aca="false">'Payroll Register'!A228</f>
        <v>E1044</v>
      </c>
      <c r="B228" s="6" t="str">
        <f aca="false">'Payroll Register'!B228</f>
        <v>Employee 045</v>
      </c>
      <c r="C228" s="6" t="str">
        <f aca="false">'Payroll Register'!D228</f>
        <v>2026-06-22 to 2026-06-28</v>
      </c>
      <c r="D228" s="6" t="str">
        <f aca="false">'Payroll Register'!E228</f>
        <v>Regular</v>
      </c>
      <c r="E228" s="7" t="n">
        <f aca="false">ROUND('Payroll Register'!F228*'Payroll Register'!G228,2)</f>
        <v>1037.52</v>
      </c>
      <c r="F228" s="7" t="n">
        <f aca="false">'Payroll Register'!H228</f>
        <v>1037.52</v>
      </c>
      <c r="G228" s="7" t="n">
        <f aca="false">ROUND(F228-E228,2)</f>
        <v>0</v>
      </c>
      <c r="H228" s="6" t="str">
        <f aca="false">IF(COUNTIFS(A$2:A$247,A228,C$2:C$247,C228)&gt;1,"DUPLICATE - REVIEW","OK")</f>
        <v>OK</v>
      </c>
      <c r="I228" s="6" t="str">
        <f aca="false">IF(D228&lt;&gt;"Regular","Off-Cycle - See Register",IF(H228="DUPLICATE - REVIEW","Duplicate Payment",IF(ABS(G228)&gt;0.01,"Gross Pay Discrepancy","Clear")))</f>
        <v>Clear</v>
      </c>
    </row>
    <row r="229" customFormat="false" ht="15" hidden="false" customHeight="false" outlineLevel="0" collapsed="false">
      <c r="A229" s="6" t="str">
        <f aca="false">'Payroll Register'!A229</f>
        <v>E1045</v>
      </c>
      <c r="B229" s="6" t="str">
        <f aca="false">'Payroll Register'!B229</f>
        <v>Employee 046</v>
      </c>
      <c r="C229" s="6" t="str">
        <f aca="false">'Payroll Register'!D229</f>
        <v>2026-06-22 to 2026-06-28</v>
      </c>
      <c r="D229" s="6" t="str">
        <f aca="false">'Payroll Register'!E229</f>
        <v>Regular</v>
      </c>
      <c r="E229" s="7" t="n">
        <f aca="false">ROUND('Payroll Register'!F229*'Payroll Register'!G229,2)</f>
        <v>714.69</v>
      </c>
      <c r="F229" s="7" t="n">
        <f aca="false">'Payroll Register'!H229</f>
        <v>714.69</v>
      </c>
      <c r="G229" s="7" t="n">
        <f aca="false">ROUND(F229-E229,2)</f>
        <v>0</v>
      </c>
      <c r="H229" s="6" t="str">
        <f aca="false">IF(COUNTIFS(A$2:A$247,A229,C$2:C$247,C229)&gt;1,"DUPLICATE - REVIEW","OK")</f>
        <v>OK</v>
      </c>
      <c r="I229" s="6" t="str">
        <f aca="false">IF(D229&lt;&gt;"Regular","Off-Cycle - See Register",IF(H229="DUPLICATE - REVIEW","Duplicate Payment",IF(ABS(G229)&gt;0.01,"Gross Pay Discrepancy","Clear")))</f>
        <v>Clear</v>
      </c>
    </row>
    <row r="230" customFormat="false" ht="15" hidden="false" customHeight="false" outlineLevel="0" collapsed="false">
      <c r="A230" s="6" t="str">
        <f aca="false">'Payroll Register'!A230</f>
        <v>E1046</v>
      </c>
      <c r="B230" s="6" t="str">
        <f aca="false">'Payroll Register'!B230</f>
        <v>Employee 047</v>
      </c>
      <c r="C230" s="6" t="str">
        <f aca="false">'Payroll Register'!D230</f>
        <v>2026-06-22 to 2026-06-28</v>
      </c>
      <c r="D230" s="6" t="str">
        <f aca="false">'Payroll Register'!E230</f>
        <v>Regular</v>
      </c>
      <c r="E230" s="7" t="n">
        <f aca="false">ROUND('Payroll Register'!F230*'Payroll Register'!G230,2)</f>
        <v>484.58</v>
      </c>
      <c r="F230" s="7" t="n">
        <f aca="false">'Payroll Register'!H230</f>
        <v>484.58</v>
      </c>
      <c r="G230" s="7" t="n">
        <f aca="false">ROUND(F230-E230,2)</f>
        <v>0</v>
      </c>
      <c r="H230" s="6" t="str">
        <f aca="false">IF(COUNTIFS(A$2:A$247,A230,C$2:C$247,C230)&gt;1,"DUPLICATE - REVIEW","OK")</f>
        <v>OK</v>
      </c>
      <c r="I230" s="6" t="str">
        <f aca="false">IF(D230&lt;&gt;"Regular","Off-Cycle - See Register",IF(H230="DUPLICATE - REVIEW","Duplicate Payment",IF(ABS(G230)&gt;0.01,"Gross Pay Discrepancy","Clear")))</f>
        <v>Clear</v>
      </c>
    </row>
    <row r="231" customFormat="false" ht="15" hidden="false" customHeight="false" outlineLevel="0" collapsed="false">
      <c r="A231" s="6" t="str">
        <f aca="false">'Payroll Register'!A231</f>
        <v>E1047</v>
      </c>
      <c r="B231" s="6" t="str">
        <f aca="false">'Payroll Register'!B231</f>
        <v>Employee 048</v>
      </c>
      <c r="C231" s="6" t="str">
        <f aca="false">'Payroll Register'!D231</f>
        <v>2026-06-22 to 2026-06-28</v>
      </c>
      <c r="D231" s="6" t="str">
        <f aca="false">'Payroll Register'!E231</f>
        <v>Regular</v>
      </c>
      <c r="E231" s="7" t="n">
        <f aca="false">ROUND('Payroll Register'!F231*'Payroll Register'!G231,2)</f>
        <v>605.1</v>
      </c>
      <c r="F231" s="7" t="n">
        <f aca="false">'Payroll Register'!H231</f>
        <v>605.1</v>
      </c>
      <c r="G231" s="7" t="n">
        <f aca="false">ROUND(F231-E231,2)</f>
        <v>0</v>
      </c>
      <c r="H231" s="6" t="str">
        <f aca="false">IF(COUNTIFS(A$2:A$247,A231,C$2:C$247,C231)&gt;1,"DUPLICATE - REVIEW","OK")</f>
        <v>OK</v>
      </c>
      <c r="I231" s="6" t="str">
        <f aca="false">IF(D231&lt;&gt;"Regular","Off-Cycle - See Register",IF(H231="DUPLICATE - REVIEW","Duplicate Payment",IF(ABS(G231)&gt;0.01,"Gross Pay Discrepancy","Clear")))</f>
        <v>Clear</v>
      </c>
    </row>
    <row r="232" customFormat="false" ht="15" hidden="false" customHeight="false" outlineLevel="0" collapsed="false">
      <c r="A232" s="6" t="str">
        <f aca="false">'Payroll Register'!A232</f>
        <v>E1048</v>
      </c>
      <c r="B232" s="6" t="str">
        <f aca="false">'Payroll Register'!B232</f>
        <v>Employee 049</v>
      </c>
      <c r="C232" s="6" t="str">
        <f aca="false">'Payroll Register'!D232</f>
        <v>2026-06-22 to 2026-06-28</v>
      </c>
      <c r="D232" s="6" t="str">
        <f aca="false">'Payroll Register'!E232</f>
        <v>Regular</v>
      </c>
      <c r="E232" s="7" t="n">
        <f aca="false">ROUND('Payroll Register'!F232*'Payroll Register'!G232,2)</f>
        <v>486.39</v>
      </c>
      <c r="F232" s="7" t="n">
        <f aca="false">'Payroll Register'!H232</f>
        <v>486.39</v>
      </c>
      <c r="G232" s="7" t="n">
        <f aca="false">ROUND(F232-E232,2)</f>
        <v>0</v>
      </c>
      <c r="H232" s="6" t="str">
        <f aca="false">IF(COUNTIFS(A$2:A$247,A232,C$2:C$247,C232)&gt;1,"DUPLICATE - REVIEW","OK")</f>
        <v>OK</v>
      </c>
      <c r="I232" s="6" t="str">
        <f aca="false">IF(D232&lt;&gt;"Regular","Off-Cycle - See Register",IF(H232="DUPLICATE - REVIEW","Duplicate Payment",IF(ABS(G232)&gt;0.01,"Gross Pay Discrepancy","Clear")))</f>
        <v>Clear</v>
      </c>
    </row>
    <row r="233" customFormat="false" ht="15" hidden="false" customHeight="false" outlineLevel="0" collapsed="false">
      <c r="A233" s="6" t="str">
        <f aca="false">'Payroll Register'!A233</f>
        <v>E1049</v>
      </c>
      <c r="B233" s="6" t="str">
        <f aca="false">'Payroll Register'!B233</f>
        <v>Employee 050</v>
      </c>
      <c r="C233" s="6" t="str">
        <f aca="false">'Payroll Register'!D233</f>
        <v>2026-06-22 to 2026-06-28</v>
      </c>
      <c r="D233" s="6" t="str">
        <f aca="false">'Payroll Register'!E233</f>
        <v>Regular</v>
      </c>
      <c r="E233" s="7" t="n">
        <f aca="false">ROUND('Payroll Register'!F233*'Payroll Register'!G233,2)</f>
        <v>419.58</v>
      </c>
      <c r="F233" s="7" t="n">
        <f aca="false">'Payroll Register'!H233</f>
        <v>419.58</v>
      </c>
      <c r="G233" s="7" t="n">
        <f aca="false">ROUND(F233-E233,2)</f>
        <v>0</v>
      </c>
      <c r="H233" s="6" t="str">
        <f aca="false">IF(COUNTIFS(A$2:A$247,A233,C$2:C$247,C233)&gt;1,"DUPLICATE - REVIEW","OK")</f>
        <v>OK</v>
      </c>
      <c r="I233" s="6" t="str">
        <f aca="false">IF(D233&lt;&gt;"Regular","Off-Cycle - See Register",IF(H233="DUPLICATE - REVIEW","Duplicate Payment",IF(ABS(G233)&gt;0.01,"Gross Pay Discrepancy","Clear")))</f>
        <v>Clear</v>
      </c>
    </row>
    <row r="234" customFormat="false" ht="15" hidden="false" customHeight="false" outlineLevel="0" collapsed="false">
      <c r="A234" s="6" t="str">
        <f aca="false">'Payroll Register'!A234</f>
        <v>E1050</v>
      </c>
      <c r="B234" s="6" t="str">
        <f aca="false">'Payroll Register'!B234</f>
        <v>Employee 051</v>
      </c>
      <c r="C234" s="6" t="str">
        <f aca="false">'Payroll Register'!D234</f>
        <v>2026-06-22 to 2026-06-28</v>
      </c>
      <c r="D234" s="6" t="str">
        <f aca="false">'Payroll Register'!E234</f>
        <v>Regular</v>
      </c>
      <c r="E234" s="7" t="n">
        <f aca="false">ROUND('Payroll Register'!F234*'Payroll Register'!G234,2)</f>
        <v>742.16</v>
      </c>
      <c r="F234" s="7" t="n">
        <f aca="false">'Payroll Register'!H234</f>
        <v>742.16</v>
      </c>
      <c r="G234" s="7" t="n">
        <f aca="false">ROUND(F234-E234,2)</f>
        <v>0</v>
      </c>
      <c r="H234" s="6" t="str">
        <f aca="false">IF(COUNTIFS(A$2:A$247,A234,C$2:C$247,C234)&gt;1,"DUPLICATE - REVIEW","OK")</f>
        <v>OK</v>
      </c>
      <c r="I234" s="6" t="str">
        <f aca="false">IF(D234&lt;&gt;"Regular","Off-Cycle - See Register",IF(H234="DUPLICATE - REVIEW","Duplicate Payment",IF(ABS(G234)&gt;0.01,"Gross Pay Discrepancy","Clear")))</f>
        <v>Clear</v>
      </c>
    </row>
    <row r="235" customFormat="false" ht="15" hidden="false" customHeight="false" outlineLevel="0" collapsed="false">
      <c r="A235" s="6" t="str">
        <f aca="false">'Payroll Register'!A235</f>
        <v>E1051</v>
      </c>
      <c r="B235" s="6" t="str">
        <f aca="false">'Payroll Register'!B235</f>
        <v>Employee 052</v>
      </c>
      <c r="C235" s="6" t="str">
        <f aca="false">'Payroll Register'!D235</f>
        <v>2026-06-22 to 2026-06-28</v>
      </c>
      <c r="D235" s="6" t="str">
        <f aca="false">'Payroll Register'!E235</f>
        <v>Regular</v>
      </c>
      <c r="E235" s="7" t="n">
        <f aca="false">ROUND('Payroll Register'!F235*'Payroll Register'!G235,2)</f>
        <v>463.59</v>
      </c>
      <c r="F235" s="7" t="n">
        <f aca="false">'Payroll Register'!H235</f>
        <v>463.59</v>
      </c>
      <c r="G235" s="7" t="n">
        <f aca="false">ROUND(F235-E235,2)</f>
        <v>0</v>
      </c>
      <c r="H235" s="6" t="str">
        <f aca="false">IF(COUNTIFS(A$2:A$247,A235,C$2:C$247,C235)&gt;1,"DUPLICATE - REVIEW","OK")</f>
        <v>OK</v>
      </c>
      <c r="I235" s="6" t="str">
        <f aca="false">IF(D235&lt;&gt;"Regular","Off-Cycle - See Register",IF(H235="DUPLICATE - REVIEW","Duplicate Payment",IF(ABS(G235)&gt;0.01,"Gross Pay Discrepancy","Clear")))</f>
        <v>Clear</v>
      </c>
    </row>
    <row r="236" customFormat="false" ht="15" hidden="false" customHeight="false" outlineLevel="0" collapsed="false">
      <c r="A236" s="6" t="str">
        <f aca="false">'Payroll Register'!A236</f>
        <v>E1052</v>
      </c>
      <c r="B236" s="6" t="str">
        <f aca="false">'Payroll Register'!B236</f>
        <v>Employee 053</v>
      </c>
      <c r="C236" s="6" t="str">
        <f aca="false">'Payroll Register'!D236</f>
        <v>2026-06-22 to 2026-06-28</v>
      </c>
      <c r="D236" s="6" t="str">
        <f aca="false">'Payroll Register'!E236</f>
        <v>Regular</v>
      </c>
      <c r="E236" s="7" t="n">
        <f aca="false">ROUND('Payroll Register'!F236*'Payroll Register'!G236,2)</f>
        <v>620.73</v>
      </c>
      <c r="F236" s="7" t="n">
        <f aca="false">'Payroll Register'!H236</f>
        <v>620.73</v>
      </c>
      <c r="G236" s="7" t="n">
        <f aca="false">ROUND(F236-E236,2)</f>
        <v>0</v>
      </c>
      <c r="H236" s="6" t="str">
        <f aca="false">IF(COUNTIFS(A$2:A$247,A236,C$2:C$247,C236)&gt;1,"DUPLICATE - REVIEW","OK")</f>
        <v>OK</v>
      </c>
      <c r="I236" s="6" t="str">
        <f aca="false">IF(D236&lt;&gt;"Regular","Off-Cycle - See Register",IF(H236="DUPLICATE - REVIEW","Duplicate Payment",IF(ABS(G236)&gt;0.01,"Gross Pay Discrepancy","Clear")))</f>
        <v>Clear</v>
      </c>
    </row>
    <row r="237" customFormat="false" ht="15" hidden="false" customHeight="false" outlineLevel="0" collapsed="false">
      <c r="A237" s="6" t="str">
        <f aca="false">'Payroll Register'!A237</f>
        <v>E1053</v>
      </c>
      <c r="B237" s="6" t="str">
        <f aca="false">'Payroll Register'!B237</f>
        <v>Employee 054</v>
      </c>
      <c r="C237" s="6" t="str">
        <f aca="false">'Payroll Register'!D237</f>
        <v>2026-06-22 to 2026-06-28</v>
      </c>
      <c r="D237" s="6" t="str">
        <f aca="false">'Payroll Register'!E237</f>
        <v>Regular</v>
      </c>
      <c r="E237" s="7" t="n">
        <f aca="false">ROUND('Payroll Register'!F237*'Payroll Register'!G237,2)</f>
        <v>627.72</v>
      </c>
      <c r="F237" s="7" t="n">
        <f aca="false">'Payroll Register'!H237</f>
        <v>627.72</v>
      </c>
      <c r="G237" s="7" t="n">
        <f aca="false">ROUND(F237-E237,2)</f>
        <v>0</v>
      </c>
      <c r="H237" s="6" t="str">
        <f aca="false">IF(COUNTIFS(A$2:A$247,A237,C$2:C$247,C237)&gt;1,"DUPLICATE - REVIEW","OK")</f>
        <v>OK</v>
      </c>
      <c r="I237" s="6" t="str">
        <f aca="false">IF(D237&lt;&gt;"Regular","Off-Cycle - See Register",IF(H237="DUPLICATE - REVIEW","Duplicate Payment",IF(ABS(G237)&gt;0.01,"Gross Pay Discrepancy","Clear")))</f>
        <v>Clear</v>
      </c>
    </row>
    <row r="238" customFormat="false" ht="15" hidden="false" customHeight="false" outlineLevel="0" collapsed="false">
      <c r="A238" s="6" t="str">
        <f aca="false">'Payroll Register'!A238</f>
        <v>E1054</v>
      </c>
      <c r="B238" s="6" t="str">
        <f aca="false">'Payroll Register'!B238</f>
        <v>Employee 055</v>
      </c>
      <c r="C238" s="6" t="str">
        <f aca="false">'Payroll Register'!D238</f>
        <v>2026-06-22 to 2026-06-28</v>
      </c>
      <c r="D238" s="6" t="str">
        <f aca="false">'Payroll Register'!E238</f>
        <v>Regular</v>
      </c>
      <c r="E238" s="7" t="n">
        <f aca="false">ROUND('Payroll Register'!F238*'Payroll Register'!G238,2)</f>
        <v>881.78</v>
      </c>
      <c r="F238" s="7" t="n">
        <f aca="false">'Payroll Register'!H238</f>
        <v>881.78</v>
      </c>
      <c r="G238" s="7" t="n">
        <f aca="false">ROUND(F238-E238,2)</f>
        <v>0</v>
      </c>
      <c r="H238" s="6" t="str">
        <f aca="false">IF(COUNTIFS(A$2:A$247,A238,C$2:C$247,C238)&gt;1,"DUPLICATE - REVIEW","OK")</f>
        <v>OK</v>
      </c>
      <c r="I238" s="6" t="str">
        <f aca="false">IF(D238&lt;&gt;"Regular","Off-Cycle - See Register",IF(H238="DUPLICATE - REVIEW","Duplicate Payment",IF(ABS(G238)&gt;0.01,"Gross Pay Discrepancy","Clear")))</f>
        <v>Clear</v>
      </c>
    </row>
    <row r="239" customFormat="false" ht="15" hidden="false" customHeight="false" outlineLevel="0" collapsed="false">
      <c r="A239" s="6" t="str">
        <f aca="false">'Payroll Register'!A239</f>
        <v>E1055</v>
      </c>
      <c r="B239" s="6" t="str">
        <f aca="false">'Payroll Register'!B239</f>
        <v>Employee 056</v>
      </c>
      <c r="C239" s="6" t="str">
        <f aca="false">'Payroll Register'!D239</f>
        <v>2026-06-22 to 2026-06-28</v>
      </c>
      <c r="D239" s="6" t="str">
        <f aca="false">'Payroll Register'!E239</f>
        <v>Regular</v>
      </c>
      <c r="E239" s="7" t="n">
        <f aca="false">ROUND('Payroll Register'!F239*'Payroll Register'!G239,2)</f>
        <v>441.56</v>
      </c>
      <c r="F239" s="7" t="n">
        <f aca="false">'Payroll Register'!H239</f>
        <v>441.56</v>
      </c>
      <c r="G239" s="7" t="n">
        <f aca="false">ROUND(F239-E239,2)</f>
        <v>0</v>
      </c>
      <c r="H239" s="6" t="str">
        <f aca="false">IF(COUNTIFS(A$2:A$247,A239,C$2:C$247,C239)&gt;1,"DUPLICATE - REVIEW","OK")</f>
        <v>OK</v>
      </c>
      <c r="I239" s="6" t="str">
        <f aca="false">IF(D239&lt;&gt;"Regular","Off-Cycle - See Register",IF(H239="DUPLICATE - REVIEW","Duplicate Payment",IF(ABS(G239)&gt;0.01,"Gross Pay Discrepancy","Clear")))</f>
        <v>Clear</v>
      </c>
    </row>
    <row r="240" customFormat="false" ht="15" hidden="false" customHeight="false" outlineLevel="0" collapsed="false">
      <c r="A240" s="6" t="str">
        <f aca="false">'Payroll Register'!A240</f>
        <v>E1056</v>
      </c>
      <c r="B240" s="6" t="str">
        <f aca="false">'Payroll Register'!B240</f>
        <v>Employee 057</v>
      </c>
      <c r="C240" s="6" t="str">
        <f aca="false">'Payroll Register'!D240</f>
        <v>2026-06-22 to 2026-06-28</v>
      </c>
      <c r="D240" s="6" t="str">
        <f aca="false">'Payroll Register'!E240</f>
        <v>Regular</v>
      </c>
      <c r="E240" s="7" t="n">
        <f aca="false">ROUND('Payroll Register'!F240*'Payroll Register'!G240,2)</f>
        <v>288.56</v>
      </c>
      <c r="F240" s="7" t="n">
        <f aca="false">'Payroll Register'!H240</f>
        <v>288.56</v>
      </c>
      <c r="G240" s="7" t="n">
        <f aca="false">ROUND(F240-E240,2)</f>
        <v>0</v>
      </c>
      <c r="H240" s="6" t="str">
        <f aca="false">IF(COUNTIFS(A$2:A$247,A240,C$2:C$247,C240)&gt;1,"DUPLICATE - REVIEW","OK")</f>
        <v>OK</v>
      </c>
      <c r="I240" s="6" t="str">
        <f aca="false">IF(D240&lt;&gt;"Regular","Off-Cycle - See Register",IF(H240="DUPLICATE - REVIEW","Duplicate Payment",IF(ABS(G240)&gt;0.01,"Gross Pay Discrepancy","Clear")))</f>
        <v>Clear</v>
      </c>
    </row>
    <row r="241" customFormat="false" ht="15" hidden="false" customHeight="false" outlineLevel="0" collapsed="false">
      <c r="A241" s="6" t="str">
        <f aca="false">'Payroll Register'!A241</f>
        <v>E1057</v>
      </c>
      <c r="B241" s="6" t="str">
        <f aca="false">'Payroll Register'!B241</f>
        <v>Employee 058</v>
      </c>
      <c r="C241" s="6" t="str">
        <f aca="false">'Payroll Register'!D241</f>
        <v>2026-06-22 to 2026-06-28</v>
      </c>
      <c r="D241" s="6" t="str">
        <f aca="false">'Payroll Register'!E241</f>
        <v>Regular</v>
      </c>
      <c r="E241" s="7" t="n">
        <f aca="false">ROUND('Payroll Register'!F241*'Payroll Register'!G241,2)</f>
        <v>507.41</v>
      </c>
      <c r="F241" s="7" t="n">
        <f aca="false">'Payroll Register'!H241</f>
        <v>507.41</v>
      </c>
      <c r="G241" s="7" t="n">
        <f aca="false">ROUND(F241-E241,2)</f>
        <v>0</v>
      </c>
      <c r="H241" s="6" t="str">
        <f aca="false">IF(COUNTIFS(A$2:A$247,A241,C$2:C$247,C241)&gt;1,"DUPLICATE - REVIEW","OK")</f>
        <v>OK</v>
      </c>
      <c r="I241" s="6" t="str">
        <f aca="false">IF(D241&lt;&gt;"Regular","Off-Cycle - See Register",IF(H241="DUPLICATE - REVIEW","Duplicate Payment",IF(ABS(G241)&gt;0.01,"Gross Pay Discrepancy","Clear")))</f>
        <v>Clear</v>
      </c>
    </row>
    <row r="242" customFormat="false" ht="15" hidden="false" customHeight="false" outlineLevel="0" collapsed="false">
      <c r="A242" s="6" t="str">
        <f aca="false">'Payroll Register'!A242</f>
        <v>E1058</v>
      </c>
      <c r="B242" s="6" t="str">
        <f aca="false">'Payroll Register'!B242</f>
        <v>Employee 059</v>
      </c>
      <c r="C242" s="6" t="str">
        <f aca="false">'Payroll Register'!D242</f>
        <v>2026-06-22 to 2026-06-28</v>
      </c>
      <c r="D242" s="6" t="str">
        <f aca="false">'Payroll Register'!E242</f>
        <v>Regular</v>
      </c>
      <c r="E242" s="7" t="n">
        <f aca="false">ROUND('Payroll Register'!F242*'Payroll Register'!G242,2)</f>
        <v>547.52</v>
      </c>
      <c r="F242" s="7" t="n">
        <f aca="false">'Payroll Register'!H242</f>
        <v>547.52</v>
      </c>
      <c r="G242" s="7" t="n">
        <f aca="false">ROUND(F242-E242,2)</f>
        <v>0</v>
      </c>
      <c r="H242" s="6" t="str">
        <f aca="false">IF(COUNTIFS(A$2:A$247,A242,C$2:C$247,C242)&gt;1,"DUPLICATE - REVIEW","OK")</f>
        <v>OK</v>
      </c>
      <c r="I242" s="6" t="str">
        <f aca="false">IF(D242&lt;&gt;"Regular","Off-Cycle - See Register",IF(H242="DUPLICATE - REVIEW","Duplicate Payment",IF(ABS(G242)&gt;0.01,"Gross Pay Discrepancy","Clear")))</f>
        <v>Clear</v>
      </c>
    </row>
    <row r="243" customFormat="false" ht="15" hidden="false" customHeight="false" outlineLevel="0" collapsed="false">
      <c r="A243" s="6" t="str">
        <f aca="false">'Payroll Register'!A243</f>
        <v>E1059</v>
      </c>
      <c r="B243" s="6" t="str">
        <f aca="false">'Payroll Register'!B243</f>
        <v>Employee 060</v>
      </c>
      <c r="C243" s="6" t="str">
        <f aca="false">'Payroll Register'!D243</f>
        <v>2026-06-22 to 2026-06-28</v>
      </c>
      <c r="D243" s="6" t="str">
        <f aca="false">'Payroll Register'!E243</f>
        <v>Regular</v>
      </c>
      <c r="E243" s="7" t="n">
        <f aca="false">ROUND('Payroll Register'!F243*'Payroll Register'!G243,2)</f>
        <v>386.85</v>
      </c>
      <c r="F243" s="7" t="n">
        <f aca="false">'Payroll Register'!H243</f>
        <v>386.85</v>
      </c>
      <c r="G243" s="7" t="n">
        <f aca="false">ROUND(F243-E243,2)</f>
        <v>0</v>
      </c>
      <c r="H243" s="6" t="str">
        <f aca="false">IF(COUNTIFS(A$2:A$247,A243,C$2:C$247,C243)&gt;1,"DUPLICATE - REVIEW","OK")</f>
        <v>OK</v>
      </c>
      <c r="I243" s="6" t="str">
        <f aca="false">IF(D243&lt;&gt;"Regular","Off-Cycle - See Register",IF(H243="DUPLICATE - REVIEW","Duplicate Payment",IF(ABS(G243)&gt;0.01,"Gross Pay Discrepancy","Clear")))</f>
        <v>Clear</v>
      </c>
    </row>
    <row r="244" customFormat="false" ht="15" hidden="false" customHeight="false" outlineLevel="0" collapsed="false">
      <c r="A244" s="6" t="str">
        <f aca="false">'Payroll Register'!A244</f>
        <v>E1005</v>
      </c>
      <c r="B244" s="6" t="str">
        <f aca="false">'Payroll Register'!B244</f>
        <v>Employee 005</v>
      </c>
      <c r="C244" s="6" t="str">
        <f aca="false">'Payroll Register'!D244</f>
        <v>2026-06-08 to 2026-06-14</v>
      </c>
      <c r="D244" s="6" t="str">
        <f aca="false">'Payroll Register'!E244</f>
        <v>Off-Cycle - Reversal</v>
      </c>
      <c r="E244" s="7" t="n">
        <f aca="false">ROUND('Payroll Register'!F244*'Payroll Register'!G244,2)</f>
        <v>0</v>
      </c>
      <c r="F244" s="7" t="n">
        <f aca="false">'Payroll Register'!H244</f>
        <v>-215</v>
      </c>
      <c r="G244" s="7" t="n">
        <f aca="false">ROUND(F244-E244,2)</f>
        <v>-215</v>
      </c>
      <c r="H244" s="6" t="str">
        <f aca="false">IF(COUNTIFS(A$2:A$247,A244,C$2:C$247,C244)&gt;1,"DUPLICATE - REVIEW","OK")</f>
        <v>DUPLICATE - REVIEW</v>
      </c>
      <c r="I244" s="6" t="str">
        <f aca="false">IF(D244&lt;&gt;"Regular","Off-Cycle - See Register",IF(H244="DUPLICATE - REVIEW","Duplicate Payment",IF(ABS(G244)&gt;0.01,"Gross Pay Discrepancy","Clear")))</f>
        <v>Off-Cycle - See Register</v>
      </c>
    </row>
    <row r="245" customFormat="false" ht="15" hidden="false" customHeight="false" outlineLevel="0" collapsed="false">
      <c r="A245" s="6" t="str">
        <f aca="false">'Payroll Register'!A245</f>
        <v>E1018</v>
      </c>
      <c r="B245" s="6" t="str">
        <f aca="false">'Payroll Register'!B245</f>
        <v>Employee 018</v>
      </c>
      <c r="C245" s="6" t="str">
        <f aca="false">'Payroll Register'!D245</f>
        <v>2026-06-15 to 2026-06-21</v>
      </c>
      <c r="D245" s="6" t="str">
        <f aca="false">'Payroll Register'!E245</f>
        <v>Off-Cycle - Overpayment Correction</v>
      </c>
      <c r="E245" s="7" t="n">
        <f aca="false">ROUND('Payroll Register'!F245*'Payroll Register'!G245,2)</f>
        <v>0</v>
      </c>
      <c r="F245" s="7" t="n">
        <f aca="false">'Payroll Register'!H245</f>
        <v>-180</v>
      </c>
      <c r="G245" s="7" t="n">
        <f aca="false">ROUND(F245-E245,2)</f>
        <v>-180</v>
      </c>
      <c r="H245" s="6" t="str">
        <f aca="false">IF(COUNTIFS(A$2:A$247,A245,C$2:C$247,C245)&gt;1,"DUPLICATE - REVIEW","OK")</f>
        <v>DUPLICATE - REVIEW</v>
      </c>
      <c r="I245" s="6" t="str">
        <f aca="false">IF(D245&lt;&gt;"Regular","Off-Cycle - See Register",IF(H245="DUPLICATE - REVIEW","Duplicate Payment",IF(ABS(G245)&gt;0.01,"Gross Pay Discrepancy","Clear")))</f>
        <v>Off-Cycle - See Register</v>
      </c>
    </row>
    <row r="246" customFormat="false" ht="15" hidden="false" customHeight="false" outlineLevel="0" collapsed="false">
      <c r="A246" s="6" t="str">
        <f aca="false">'Payroll Register'!A246</f>
        <v>E1027</v>
      </c>
      <c r="B246" s="6" t="str">
        <f aca="false">'Payroll Register'!B246</f>
        <v>Employee 027</v>
      </c>
      <c r="C246" s="6" t="str">
        <f aca="false">'Payroll Register'!D246</f>
        <v>2026-06-01 to 2026-06-07</v>
      </c>
      <c r="D246" s="6" t="str">
        <f aca="false">'Payroll Register'!E246</f>
        <v>Off-Cycle - Duplicate Employee Merge</v>
      </c>
      <c r="E246" s="7" t="n">
        <f aca="false">ROUND('Payroll Register'!F246*'Payroll Register'!G246,2)</f>
        <v>0</v>
      </c>
      <c r="F246" s="7" t="n">
        <f aca="false">'Payroll Register'!H246</f>
        <v>0</v>
      </c>
      <c r="G246" s="7" t="n">
        <f aca="false">ROUND(F246-E246,2)</f>
        <v>0</v>
      </c>
      <c r="H246" s="6" t="str">
        <f aca="false">IF(COUNTIFS(A$2:A$247,A246,C$2:C$247,C246)&gt;1,"DUPLICATE - REVIEW","OK")</f>
        <v>DUPLICATE - REVIEW</v>
      </c>
      <c r="I246" s="6" t="str">
        <f aca="false">IF(D246&lt;&gt;"Regular","Off-Cycle - See Register",IF(H246="DUPLICATE - REVIEW","Duplicate Payment",IF(ABS(G246)&gt;0.01,"Gross Pay Discrepancy","Clear")))</f>
        <v>Off-Cycle - See Register</v>
      </c>
    </row>
    <row r="247" customFormat="false" ht="15" hidden="false" customHeight="false" outlineLevel="0" collapsed="false">
      <c r="A247" s="6" t="str">
        <f aca="false">'Payroll Register'!A247</f>
        <v>E1042</v>
      </c>
      <c r="B247" s="6" t="str">
        <f aca="false">'Payroll Register'!B247</f>
        <v>Employee 042</v>
      </c>
      <c r="C247" s="6" t="str">
        <f aca="false">'Payroll Register'!D247</f>
        <v>2026-06-22 to 2026-06-28</v>
      </c>
      <c r="D247" s="6" t="str">
        <f aca="false">'Payroll Register'!E247</f>
        <v>Off-Cycle - Overpayment Correction</v>
      </c>
      <c r="E247" s="7" t="n">
        <f aca="false">ROUND('Payroll Register'!F247*'Payroll Register'!G247,2)</f>
        <v>0</v>
      </c>
      <c r="F247" s="7" t="n">
        <f aca="false">'Payroll Register'!H247</f>
        <v>-310</v>
      </c>
      <c r="G247" s="7" t="n">
        <f aca="false">ROUND(F247-E247,2)</f>
        <v>-310</v>
      </c>
      <c r="H247" s="6" t="str">
        <f aca="false">IF(COUNTIFS(A$2:A$247,A247,C$2:C$247,C247)&gt;1,"DUPLICATE - REVIEW","OK")</f>
        <v>DUPLICATE - REVIEW</v>
      </c>
      <c r="I247" s="6" t="str">
        <f aca="false">IF(D247&lt;&gt;"Regular","Off-Cycle - See Register",IF(H247="DUPLICATE - REVIEW","Duplicate Payment",IF(ABS(G247)&gt;0.01,"Gross Pay Discrepancy","Clear")))</f>
        <v>Off-Cycle - See Register</v>
      </c>
    </row>
  </sheetData>
  <conditionalFormatting sqref="I2:I247">
    <cfRule type="cellIs" priority="2" operator="notEqual" aboveAverage="0" equalAverage="0" bottom="0" percent="0" rank="0" text="" dxfId="3">
      <formula>"Clear"</formula>
    </cfRule>
  </conditionalFormatting>
  <conditionalFormatting sqref="G2:G247">
    <cfRule type="colorScale" priority="3">
      <colorScale>
        <cfvo type="min" val="0"/>
        <cfvo type="num" val="0"/>
        <cfvo type="max" val="0"/>
        <color rgb="FFF8696B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157</v>
      </c>
    </row>
    <row r="2" customFormat="false" ht="15" hidden="false" customHeight="false" outlineLevel="0" collapsed="false">
      <c r="A2" s="8" t="s">
        <v>158</v>
      </c>
    </row>
    <row r="4" customFormat="false" ht="15" hidden="false" customHeight="false" outlineLevel="0" collapsed="false">
      <c r="A4" s="9" t="s">
        <v>159</v>
      </c>
    </row>
    <row r="5" customFormat="false" ht="15" hidden="false" customHeight="false" outlineLevel="0" collapsed="false">
      <c r="A5" s="10" t="s">
        <v>13</v>
      </c>
      <c r="B5" s="10" t="s">
        <v>160</v>
      </c>
      <c r="C5" s="10" t="s">
        <v>161</v>
      </c>
      <c r="D5" s="10" t="s">
        <v>162</v>
      </c>
      <c r="E5" s="10" t="s">
        <v>163</v>
      </c>
    </row>
    <row r="6" customFormat="false" ht="15" hidden="false" customHeight="false" outlineLevel="0" collapsed="false">
      <c r="A6" s="6" t="s">
        <v>23</v>
      </c>
      <c r="B6" s="6" t="n">
        <f aca="false">COUNTIF('Audit &amp; Reconciliation'!C:C,A6)</f>
        <v>63</v>
      </c>
      <c r="C6" s="6" t="n">
        <f aca="false">COUNTIFS('Audit &amp; Reconciliation'!C:C,A6,'Audit &amp; Reconciliation'!I:I,"Clear")</f>
        <v>55</v>
      </c>
      <c r="D6" s="6" t="n">
        <f aca="false">B6-C6</f>
        <v>8</v>
      </c>
      <c r="E6" s="11" t="n">
        <f aca="false">ROUND(D6/B6*100,1)</f>
        <v>12.7</v>
      </c>
    </row>
    <row r="7" customFormat="false" ht="15" hidden="false" customHeight="false" outlineLevel="0" collapsed="false">
      <c r="A7" s="6" t="s">
        <v>147</v>
      </c>
      <c r="B7" s="6" t="n">
        <f aca="false">COUNTIF('Audit &amp; Reconciliation'!C:C,A7)</f>
        <v>61</v>
      </c>
      <c r="C7" s="6" t="n">
        <f aca="false">COUNTIFS('Audit &amp; Reconciliation'!C:C,A7,'Audit &amp; Reconciliation'!I:I,"Clear")</f>
        <v>58</v>
      </c>
      <c r="D7" s="6" t="n">
        <f aca="false">B7-C7</f>
        <v>3</v>
      </c>
      <c r="E7" s="11" t="n">
        <f aca="false">ROUND(D7/B7*100,1)</f>
        <v>4.9</v>
      </c>
    </row>
    <row r="8" customFormat="false" ht="15" hidden="false" customHeight="false" outlineLevel="0" collapsed="false">
      <c r="A8" s="6" t="s">
        <v>148</v>
      </c>
      <c r="B8" s="6" t="n">
        <f aca="false">COUNTIF('Audit &amp; Reconciliation'!C:C,A8)</f>
        <v>61</v>
      </c>
      <c r="C8" s="6" t="n">
        <f aca="false">COUNTIFS('Audit &amp; Reconciliation'!C:C,A8,'Audit &amp; Reconciliation'!I:I,"Clear")</f>
        <v>58</v>
      </c>
      <c r="D8" s="6" t="n">
        <f aca="false">B8-C8</f>
        <v>3</v>
      </c>
      <c r="E8" s="11" t="n">
        <f aca="false">ROUND(D8/B8*100,1)</f>
        <v>4.9</v>
      </c>
    </row>
    <row r="9" customFormat="false" ht="15" hidden="false" customHeight="false" outlineLevel="0" collapsed="false">
      <c r="A9" s="6" t="s">
        <v>149</v>
      </c>
      <c r="B9" s="6" t="n">
        <f aca="false">COUNTIF('Audit &amp; Reconciliation'!C:C,A9)</f>
        <v>61</v>
      </c>
      <c r="C9" s="6" t="n">
        <f aca="false">COUNTIFS('Audit &amp; Reconciliation'!C:C,A9,'Audit &amp; Reconciliation'!I:I,"Clear")</f>
        <v>59</v>
      </c>
      <c r="D9" s="6" t="n">
        <f aca="false">B9-C9</f>
        <v>2</v>
      </c>
      <c r="E9" s="11" t="n">
        <f aca="false">ROUND(D9/B9*100,1)</f>
        <v>3.3</v>
      </c>
    </row>
    <row r="12" customFormat="false" ht="15" hidden="false" customHeight="false" outlineLevel="0" collapsed="false">
      <c r="A12" s="9" t="s">
        <v>164</v>
      </c>
    </row>
    <row r="13" customFormat="false" ht="15" hidden="false" customHeight="false" outlineLevel="0" collapsed="false">
      <c r="A13" s="10" t="s">
        <v>156</v>
      </c>
      <c r="B13" s="10" t="s">
        <v>165</v>
      </c>
    </row>
    <row r="14" customFormat="false" ht="15" hidden="false" customHeight="false" outlineLevel="0" collapsed="false">
      <c r="A14" s="6" t="s">
        <v>161</v>
      </c>
      <c r="B14" s="6" t="n">
        <f aca="false">COUNTIF('Audit &amp; Reconciliation'!I:I,A14)</f>
        <v>230</v>
      </c>
    </row>
    <row r="15" customFormat="false" ht="15" hidden="false" customHeight="false" outlineLevel="0" collapsed="false">
      <c r="A15" s="6" t="s">
        <v>166</v>
      </c>
      <c r="B15" s="6" t="n">
        <f aca="false">COUNTIF('Audit &amp; Reconciliation'!I:I,A15)</f>
        <v>8</v>
      </c>
    </row>
    <row r="16" customFormat="false" ht="15" hidden="false" customHeight="false" outlineLevel="0" collapsed="false">
      <c r="A16" s="6" t="s">
        <v>167</v>
      </c>
      <c r="B16" s="6" t="n">
        <f aca="false">COUNTIF('Audit &amp; Reconciliation'!I:I,A16)</f>
        <v>4</v>
      </c>
    </row>
    <row r="17" customFormat="false" ht="15" hidden="false" customHeight="false" outlineLevel="0" collapsed="false">
      <c r="A17" s="6" t="s">
        <v>168</v>
      </c>
      <c r="B17" s="6" t="n">
        <f aca="false">COUNTIF('Audit &amp; Reconciliation'!I:I,A17)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169</v>
      </c>
    </row>
    <row r="3" customFormat="false" ht="33.75" hidden="false" customHeight="true" outlineLevel="0" collapsed="false">
      <c r="A3" s="4" t="s">
        <v>170</v>
      </c>
    </row>
    <row r="4" customFormat="false" ht="7.5" hidden="false" customHeight="true" outlineLevel="0" collapsed="false">
      <c r="A4" s="4"/>
    </row>
    <row r="5" customFormat="false" ht="33.75" hidden="false" customHeight="true" outlineLevel="0" collapsed="false">
      <c r="A5" s="4" t="s">
        <v>171</v>
      </c>
    </row>
    <row r="6" customFormat="false" ht="7.5" hidden="false" customHeight="true" outlineLevel="0" collapsed="false">
      <c r="A6" s="4"/>
    </row>
    <row r="7" customFormat="false" ht="33.75" hidden="false" customHeight="true" outlineLevel="0" collapsed="false">
      <c r="A7" s="4" t="s">
        <v>172</v>
      </c>
    </row>
    <row r="8" customFormat="false" ht="7.5" hidden="false" customHeight="true" outlineLevel="0" collapsed="false">
      <c r="A8" s="4"/>
    </row>
    <row r="9" customFormat="false" ht="33.75" hidden="false" customHeight="true" outlineLevel="0" collapsed="false">
      <c r="A9" s="4" t="s">
        <v>173</v>
      </c>
    </row>
    <row r="10" customFormat="false" ht="7.5" hidden="false" customHeight="true" outlineLevel="0" collapsed="false">
      <c r="A10" s="4"/>
    </row>
    <row r="11" customFormat="false" ht="33.75" hidden="false" customHeight="true" outlineLevel="0" collapsed="false">
      <c r="A11" s="4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2026-08-28T07:33:02Z</dcterms:created>
  <dc:creator>openpyxl</dc:creator>
  <dc:description/>
  <dc:language>en-US</dc:language>
  <cp:lastModifiedBy/>
  <dcterms:modified xsi:type="dcterms:W3CDTF">2026-08-28T07:33:05Z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