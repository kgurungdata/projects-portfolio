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ffer &amp; Booking Data" sheetId="2" state="visible" r:id="rId4"/>
    <sheet name="Performance Dashboard" sheetId="3" state="visible" r:id="rId5"/>
    <sheet name="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<sst xmlns="http://schemas.openxmlformats.org/spreadsheetml/2006/main" count="422" uniqueCount="121">
  <si>
    <t xml:space="preserve">Airline Offer &amp; Revenue Performance Reporting</t>
  </si>
  <si>
    <t xml:space="preserve">A self-directed practice project modeled on the Retailing &amp; Reporting (R&amp;R) function at an airline - building offer, share, and revenue performance reporting to support analyst decision-making.</t>
  </si>
  <si>
    <t xml:space="preserve">Purpose</t>
  </si>
  <si>
    <t xml:space="preserve">Practice building the kind of offer-performance and revenue reporting a Retailing &amp; Reporting analyst would use: tracking booking and revenue trends by market, comparing offer types, and evaluating joint venture (JV) vs. non-JV performance.</t>
  </si>
  <si>
    <t xml:space="preserve">Data</t>
  </si>
  <si>
    <t xml:space="preserve">All data in this workbook is simulated for practice purposes. It does not represent real airline, market, or customer data from any company.</t>
  </si>
  <si>
    <t xml:space="preserve">Sheets</t>
  </si>
  <si>
    <t xml:space="preserve">Offer &amp; Booking Data (raw records) | Performance Dashboard (summary formulas + charts) | Findings (written interpretation).</t>
  </si>
  <si>
    <t xml:space="preserve">Skills demonstrated</t>
  </si>
  <si>
    <t xml:space="preserve">Excel formulas (SUMIFS, COUNTIFS, AVERAGEIFS), pivot-style summary reporting, conditional formatting, charting, and written data interpretation for a business audience.</t>
  </si>
  <si>
    <t xml:space="preserve">Date</t>
  </si>
  <si>
    <t xml:space="preserve">Market</t>
  </si>
  <si>
    <t xml:space="preserve">Channel</t>
  </si>
  <si>
    <t xml:space="preserve">Offer Type</t>
  </si>
  <si>
    <t xml:space="preserve">JV Partner</t>
  </si>
  <si>
    <t xml:space="preserve">Bookings</t>
  </si>
  <si>
    <t xml:space="preserve">Revenue ($)</t>
  </si>
  <si>
    <t xml:space="preserve">Load Factor (%)</t>
  </si>
  <si>
    <t xml:space="preserve">Avg Fare ($)</t>
  </si>
  <si>
    <t xml:space="preserve">2026-02-03</t>
  </si>
  <si>
    <t xml:space="preserve">ATL-NRT</t>
  </si>
  <si>
    <t xml:space="preserve">Travel Agency</t>
  </si>
  <si>
    <t xml:space="preserve">Basic Economy</t>
  </si>
  <si>
    <t xml:space="preserve">None</t>
  </si>
  <si>
    <t xml:space="preserve">2026-02-04</t>
  </si>
  <si>
    <t xml:space="preserve">ATL-LHR</t>
  </si>
  <si>
    <t xml:space="preserve">Direct - Web</t>
  </si>
  <si>
    <t xml:space="preserve">Virgin Atlantic (JV)</t>
  </si>
  <si>
    <t xml:space="preserve">2026-02-11</t>
  </si>
  <si>
    <t xml:space="preserve">ATL-ICN</t>
  </si>
  <si>
    <t xml:space="preserve">OTA</t>
  </si>
  <si>
    <t xml:space="preserve">Korean Air (JV)</t>
  </si>
  <si>
    <t xml:space="preserve">2026-02-14</t>
  </si>
  <si>
    <t xml:space="preserve">ATL-CDG</t>
  </si>
  <si>
    <t xml:space="preserve">Comfort+</t>
  </si>
  <si>
    <t xml:space="preserve">Air France-KLM (JV)</t>
  </si>
  <si>
    <t xml:space="preserve">2026-02-15</t>
  </si>
  <si>
    <t xml:space="preserve">Main Cabin</t>
  </si>
  <si>
    <t xml:space="preserve">ATL-AMS</t>
  </si>
  <si>
    <t xml:space="preserve">Delta One</t>
  </si>
  <si>
    <t xml:space="preserve">2026-02-17</t>
  </si>
  <si>
    <t xml:space="preserve">2026-02-21</t>
  </si>
  <si>
    <t xml:space="preserve">ATL-MEX</t>
  </si>
  <si>
    <t xml:space="preserve">Aeromexico (JV)</t>
  </si>
  <si>
    <t xml:space="preserve">2026-02-22</t>
  </si>
  <si>
    <t xml:space="preserve">2026-02-24</t>
  </si>
  <si>
    <t xml:space="preserve">2026-02-25</t>
  </si>
  <si>
    <t xml:space="preserve">2026-03-03</t>
  </si>
  <si>
    <t xml:space="preserve">2026-03-05</t>
  </si>
  <si>
    <t xml:space="preserve">Direct - App</t>
  </si>
  <si>
    <t xml:space="preserve">2026-03-08</t>
  </si>
  <si>
    <t xml:space="preserve">2026-03-11</t>
  </si>
  <si>
    <t xml:space="preserve">2026-03-16</t>
  </si>
  <si>
    <t xml:space="preserve">2026-03-20</t>
  </si>
  <si>
    <t xml:space="preserve">2026-03-21</t>
  </si>
  <si>
    <t xml:space="preserve">2026-03-24</t>
  </si>
  <si>
    <t xml:space="preserve">2026-03-25</t>
  </si>
  <si>
    <t xml:space="preserve">2026-04-04</t>
  </si>
  <si>
    <t xml:space="preserve">2026-04-07</t>
  </si>
  <si>
    <t xml:space="preserve">2026-04-08</t>
  </si>
  <si>
    <t xml:space="preserve">2026-04-10</t>
  </si>
  <si>
    <t xml:space="preserve">2026-04-15</t>
  </si>
  <si>
    <t xml:space="preserve">2026-04-16</t>
  </si>
  <si>
    <t xml:space="preserve">2026-04-18</t>
  </si>
  <si>
    <t xml:space="preserve">2026-04-19</t>
  </si>
  <si>
    <t xml:space="preserve">2026-04-22</t>
  </si>
  <si>
    <t xml:space="preserve">2026-05-07</t>
  </si>
  <si>
    <t xml:space="preserve">2026-05-08</t>
  </si>
  <si>
    <t xml:space="preserve">2026-05-09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</si>
  <si>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</si>
  <si>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</si>
  <si>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</si>
  <si>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</si>
  <si>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2026-05-24</t>
  </si>
  <si>
    <t xml:space="preserve">2026-05-25</t>
  </si>
  <si>
    <t xml:space="preserve">2026-06-03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</si>
  <si>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</si>
  <si>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</si>
  <si>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</si>
  <si>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</si>
  <si>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2026-06-17</t>
  </si>
  <si>
    <t xml:space="preserve">2026-06-20</t>
  </si>
  <si>
    <t xml:space="preserve">2026-06-23</t>
  </si>
  <si>
    <t xml:space="preserve">2026-06-24</t>
  </si>
  <si>
    <t xml:space="preserve">2026-07-04</t>
  </si>
  <si>
    <t xml:space="preserve">2026-07-07</t>
  </si>
  <si>
    <t xml:space="preserve">2026-07-09</t>
  </si>
  <si>
    <t xml:space="preserve">2026-07-10</t>
  </si>
  <si>
    <t xml:space="preserve">2026-07-12</t>
  </si>
  <si>
    <t xml:space="preserve">2026-07-13</t>
  </si>
  <si>
    <t xml:space="preserve">2026-07-15</t>
  </si>
  <si>
    <t xml:space="preserve">2026-07-18</t>
  </si>
  <si>
    <t xml:space="preserve">2026-07-20</t>
  </si>
  <si>
    <t xml:space="preserve">2026-07-21</t>
  </si>
  <si>
    <t xml:space="preserve">2026-07-26</t>
  </si>
  <si>
    <t xml:space="preserve">Performance Dashboard</t>
  </si>
  <si>
    <t xml:space="preserve">Summary reporting built with live formulas referencing the Offer &amp; Booking Data sheet.</t>
  </si>
  <si>
    <t xml:space="preserve">Revenue &amp; Bookings by Market</t>
  </si>
  <si>
    <t xml:space="preserve">Total Revenue</t>
  </si>
  <si>
    <t xml:space="preserve">Total Bookings</t>
  </si>
  <si>
    <t xml:space="preserve">Avg Load Factor (%)</t>
  </si>
  <si>
    <t xml:space="preserve">Booking Share by Offer Type</t>
  </si>
  <si>
    <t xml:space="preserve">Share of Bookings (%)</t>
  </si>
  <si>
    <t xml:space="preserve">JV vs. Non-JV Revenue Comparison</t>
  </si>
  <si>
    <t xml:space="preserve">Group</t>
  </si>
  <si>
    <t xml:space="preserve">JV Markets</t>
  </si>
  <si>
    <t xml:space="preserve">Non-JV Markets</t>
  </si>
  <si>
    <t xml:space="preserve">Monthly Revenue Trend</t>
  </si>
  <si>
    <t xml:space="preserve">Month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</si>
  <si>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</si>
  <si>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</si>
  <si>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</si>
  <si>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</si>
  <si>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</si>
  <si>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</si>
  <si>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Findings &amp; Interpretation</t>
  </si>
  <si>
    <t xml:space="preserve">This practice report simulates the kind of offer and revenue performance reporting a Retailing &amp; Reporting analyst would review to spot trends across markets and offer types.</t>
  </si>
  <si>
    <t xml:space="preserve">Market performance: revenue and load factor vary meaningfully by market in this simulated data, which is the kind of gap a report like this should surface quickly so an analyst can flag it for review rather than digging through raw records market by market.</t>
  </si>
  <si>
    <t xml:space="preserve">Offer type mix: Main Cabin bookings make up the largest share of volume, consistent with it being the default offer most customers select, while Delta One carries a much smaller share of bookings but a disproportionately larger share of revenue per booking - a pattern worth calling out explicitly in a report rather than letting it get lost in a bookings-only view.</t>
  </si>
  <si>
    <t xml:space="preserve">JV vs. non-JV markets: comparing average load factor and revenue between joint-venture and non-JV markets gives a quick read on whether JV partnerships are associated with stronger performance in this simulated data - the kind of side-by-side comparison the R&amp;R team's JV performance reporting would need to support.</t>
  </si>
  <si>
    <t xml:space="preserve">Monthly trend: tracking revenue by month makes it possible to spot seasonal upward or downward movement at a glance instead of comparing individual daily records, which is the core value of a reporting dashboard over a raw data table.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</si>
</sst>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2222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22222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2">
    <dxf>
      <fill>
        <patternFill patternType="solid">
          <fgColor rgb="FFC6DA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E6B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'Performance Dashboard'!B5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Dashboard'!$A$6:$A$11</c:f>
              <c:strCache>
                <c:ptCount val="6"/>
                <c:pt idx="0">
                  <c:v>ATL-LHR</c:v>
                </c:pt>
                <c:pt idx="1">
                  <c:v>ATL-CDG</c:v>
                </c:pt>
                <c:pt idx="2">
                  <c:v>ATL-NRT</c:v>
                </c:pt>
                <c:pt idx="3">
                  <c:v>ATL-MEX</c:v>
                </c:pt>
                <c:pt idx="4">
                  <c:v>ATL-AMS</c:v>
                </c:pt>
                <c:pt idx="5">
                  <c:v>ATL-ICN</c:v>
                </c:pt>
              </c:strCache>
            </c:strRef>
          </c:cat>
          <c:val>
            <c:numRef>
              <c:f>'Performance Dashboard'!$B$6:$B$11</c:f>
              <c:numCache>
                <c:formatCode>\$#,##0</c:formatCode>
                <c:ptCount val="6"/>
                <c:pt idx="0">
                  <c:v>2495071.59</c:v>
                </c:pt>
                <c:pt idx="1">
                  <c:v>3415246.64</c:v>
                </c:pt>
                <c:pt idx="2">
                  <c:v>1502454.72</c:v>
                </c:pt>
                <c:pt idx="3">
                  <c:v>2042409.88</c:v>
                </c:pt>
                <c:pt idx="4">
                  <c:v>2035268.62</c:v>
                </c:pt>
                <c:pt idx="5">
                  <c:v>2147906.17</c:v>
                </c:pt>
              </c:numCache>
            </c:numRef>
          </c:val>
        </c:ser>
        <c:gapWidth val="150"/>
        <c:overlap val="0"/>
        <c:axId val="64727024"/>
        <c:axId val="83376339"/>
      </c:barChart>
      <c:catAx>
        <c:axId val="647270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76339"/>
        <c:crosses val="autoZero"/>
        <c:auto val="1"/>
        <c:lblAlgn val="ctr"/>
        <c:lblOffset val="100"/>
        <c:noMultiLvlLbl val="0"/>
      </c:catAx>
      <c:valAx>
        <c:axId val="83376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27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 Share by Offer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'Performance Dashboard'!B19</c:f>
              <c:strCache>
                <c:ptCount val="1"/>
                <c:pt idx="0">
                  <c:v>Total 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'Performance Dashboard'!$A$20:$A$23</c:f>
              <c:strCache>
                <c:ptCount val="4"/>
                <c:pt idx="0">
                  <c:v>Basic Economy</c:v>
                </c:pt>
                <c:pt idx="1">
                  <c:v>Main Cabin</c:v>
                </c:pt>
                <c:pt idx="2">
                  <c:v>Comfort+</c:v>
                </c:pt>
                <c:pt idx="3">
                  <c:v>Delta One</c:v>
                </c:pt>
              </c:strCache>
            </c:strRef>
          </c:cat>
          <c:val>
            <c:numRef>
              <c:f>'Performance Dashboard'!$B$20:$B$23</c:f>
              <c:numCache>
                <c:formatCode>General</c:formatCode>
                <c:ptCount val="4"/>
                <c:pt idx="0">
                  <c:v>5955</c:v>
                </c:pt>
                <c:pt idx="1">
                  <c:v>6523</c:v>
                </c:pt>
                <c:pt idx="2">
                  <c:v>2013</c:v>
                </c:pt>
                <c:pt idx="3">
                  <c:v>1911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'Performance Dashboard'!B33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Dashboard'!$A$34:$A$39</c:f>
              <c:strCache>
                <c:ptCount val="6"/>
                <c:pt idx="0">
                  <c:v>2026-02</c:v>
                </c:pt>
                <c:pt idx="1">
                  <c:v>2026-03</c:v>
                </c:pt>
                <c:pt idx="2">
                  <c:v>2026-04</c:v>
                </c:pt>
                <c:pt idx="3">
                  <c:v>2026-05</c:v>
                </c:pt>
                <c:pt idx="4">
                  <c:v>2026-06</c:v>
                </c:pt>
                <c:pt idx="5">
                  <c:v>2026-07</c:v>
                </c:pt>
              </c:strCache>
            </c:strRef>
          </c:cat>
          <c:val>
            <c:numRef>
              <c:f>'Performance Dashboard'!$B$34:$B$39</c:f>
              <c:numCache>
                <c:formatCode>\$#,##0</c:formatCode>
                <c:ptCount val="6"/>
                <c:pt idx="0">
                  <c:v>1896977.57</c:v>
                </c:pt>
                <c:pt idx="1">
                  <c:v>3302009.8</c:v>
                </c:pt>
                <c:pt idx="2">
                  <c:v>2671005.95</c:v>
                </c:pt>
                <c:pt idx="3">
                  <c:v>2274719.16</c:v>
                </c:pt>
                <c:pt idx="4">
                  <c:v>1591262.76</c:v>
                </c:pt>
                <c:pt idx="5">
                  <c:v>1902382.38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65840"/>
        <c:axId val="5149741"/>
      </c:lineChart>
      <c:catAx>
        <c:axId val="631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9741"/>
        <c:crosses val="autoZero"/>
        <c:auto val="1"/>
        <c:lblAlgn val="ctr"/>
        <c:lblOffset val="100"/>
        <c:noMultiLvlLbl val="0"/>
      </c:catAx>
      <c:valAx>
        <c:axId val="5149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65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492480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484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131040</xdr:rowOff>
    </xdr:from>
    <xdr:to>
      <xdr:col>13</xdr:col>
      <xdr:colOff>383760</xdr:colOff>
      <xdr:row>37</xdr:row>
      <xdr:rowOff>132120</xdr:rowOff>
    </xdr:to>
    <xdr:graphicFrame>
      <xdr:nvGraphicFramePr>
        <xdr:cNvPr id="1" name="Chart 2"/>
        <xdr:cNvGraphicFramePr/>
      </xdr:nvGraphicFramePr>
      <xdr:xfrm>
        <a:off x="6484680" y="4000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130680</xdr:rowOff>
    </xdr:from>
    <xdr:to>
      <xdr:col>14</xdr:col>
      <xdr:colOff>492480</xdr:colOff>
      <xdr:row>53</xdr:row>
      <xdr:rowOff>131760</xdr:rowOff>
    </xdr:to>
    <xdr:graphicFrame>
      <xdr:nvGraphicFramePr>
        <xdr:cNvPr id="2" name="Chart 3"/>
        <xdr:cNvGraphicFramePr/>
      </xdr:nvGraphicFramePr>
      <xdr:xfrm>
        <a:off x="6484680" y="7048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fferBookingData" displayName="OfferBookingData" ref="A1:I73" headerRowCount="1" totalsRowCount="0" totalsRowShown="0">
  <autoFilter ref="A1:I73"/>
  <tableColumns count="9">
    <tableColumn id="1" name="Date"/>
    <tableColumn id="2" name="Market"/>
    <tableColumn id="3" name="Channel"/>
    <tableColumn id="4" name="Offer Type"/>
    <tableColumn id="5" name="JV Partner"/>
    <tableColumn id="6" name="Bookings"/>
    <tableColumn id="7" name="Revenue ($)"/>
    <tableColumn id="8" name="Load Factor (%)"/>
    <tableColumn id="9" name="Avg Fare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3.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3.75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33.75" hidden="false" customHeight="true" outlineLevel="0" collapsed="false">
      <c r="A11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33.75" hidden="false" customHeight="true" outlineLevel="0" collapsed="false">
      <c r="A14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</row>
    <row r="2" customFormat="false" ht="15" hidden="false" customHeight="fals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n">
        <v>170</v>
      </c>
      <c r="G2" s="7" t="n">
        <v>81346.7</v>
      </c>
      <c r="H2" s="8" t="n">
        <v>76.8</v>
      </c>
      <c r="I2" s="7" t="n">
        <v>478.51</v>
      </c>
    </row>
    <row r="3" customFormat="false" ht="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22</v>
      </c>
      <c r="E3" s="6" t="s">
        <v>27</v>
      </c>
      <c r="F3" s="6" t="n">
        <v>200</v>
      </c>
      <c r="G3" s="7" t="n">
        <v>80742</v>
      </c>
      <c r="H3" s="8" t="n">
        <v>71.6</v>
      </c>
      <c r="I3" s="7" t="n">
        <v>403.71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22</v>
      </c>
      <c r="E4" s="6" t="s">
        <v>31</v>
      </c>
      <c r="F4" s="6" t="n">
        <v>387</v>
      </c>
      <c r="G4" s="7" t="n">
        <v>174250.62</v>
      </c>
      <c r="H4" s="8" t="n">
        <v>73.7</v>
      </c>
      <c r="I4" s="7" t="n">
        <v>450.26</v>
      </c>
    </row>
    <row r="5" customFormat="false" ht="15" hidden="false" customHeight="false" outlineLevel="0" collapsed="false">
      <c r="A5" s="6" t="s">
        <v>32</v>
      </c>
      <c r="B5" s="6" t="s">
        <v>33</v>
      </c>
      <c r="C5" s="6" t="s">
        <v>21</v>
      </c>
      <c r="D5" s="6" t="s">
        <v>34</v>
      </c>
      <c r="E5" s="6" t="s">
        <v>35</v>
      </c>
      <c r="F5" s="6" t="n">
        <v>63</v>
      </c>
      <c r="G5" s="7" t="n">
        <v>61099.29</v>
      </c>
      <c r="H5" s="8" t="n">
        <v>72.2</v>
      </c>
      <c r="I5" s="7" t="n">
        <v>969.83</v>
      </c>
    </row>
    <row r="6" customFormat="false" ht="15" hidden="false" customHeight="false" outlineLevel="0" collapsed="false">
      <c r="A6" s="6" t="s">
        <v>36</v>
      </c>
      <c r="B6" s="6" t="s">
        <v>33</v>
      </c>
      <c r="C6" s="6" t="s">
        <v>26</v>
      </c>
      <c r="D6" s="6" t="s">
        <v>37</v>
      </c>
      <c r="E6" s="6" t="s">
        <v>35</v>
      </c>
      <c r="F6" s="6" t="n">
        <v>392</v>
      </c>
      <c r="G6" s="7" t="n">
        <v>273996.24</v>
      </c>
      <c r="H6" s="8" t="n">
        <v>78.9</v>
      </c>
      <c r="I6" s="7" t="n">
        <v>698.97</v>
      </c>
    </row>
    <row r="7" customFormat="false" ht="15" hidden="false" customHeight="false" outlineLevel="0" collapsed="false">
      <c r="A7" s="6" t="s">
        <v>36</v>
      </c>
      <c r="B7" s="6" t="s">
        <v>38</v>
      </c>
      <c r="C7" s="6" t="s">
        <v>21</v>
      </c>
      <c r="D7" s="6" t="s">
        <v>39</v>
      </c>
      <c r="E7" s="6" t="s">
        <v>35</v>
      </c>
      <c r="F7" s="6" t="n">
        <v>179</v>
      </c>
      <c r="G7" s="7" t="n">
        <v>479700.31</v>
      </c>
      <c r="H7" s="8" t="n">
        <v>77.9</v>
      </c>
      <c r="I7" s="7" t="n">
        <v>2679.89</v>
      </c>
    </row>
    <row r="8" customFormat="false" ht="15" hidden="false" customHeight="false" outlineLevel="0" collapsed="false">
      <c r="A8" s="6" t="s">
        <v>36</v>
      </c>
      <c r="B8" s="6" t="s">
        <v>29</v>
      </c>
      <c r="C8" s="6" t="s">
        <v>26</v>
      </c>
      <c r="D8" s="6" t="s">
        <v>37</v>
      </c>
      <c r="E8" s="6" t="s">
        <v>31</v>
      </c>
      <c r="F8" s="6" t="n">
        <v>147</v>
      </c>
      <c r="G8" s="7" t="n">
        <v>98754.6</v>
      </c>
      <c r="H8" s="8" t="n">
        <v>74.4</v>
      </c>
      <c r="I8" s="7" t="n">
        <v>671.8</v>
      </c>
    </row>
    <row r="9" customFormat="false" ht="15" hidden="false" customHeight="false" outlineLevel="0" collapsed="false">
      <c r="A9" s="6" t="s">
        <v>40</v>
      </c>
      <c r="B9" s="6" t="s">
        <v>25</v>
      </c>
      <c r="C9" s="6" t="s">
        <v>26</v>
      </c>
      <c r="D9" s="6" t="s">
        <v>37</v>
      </c>
      <c r="E9" s="6" t="s">
        <v>27</v>
      </c>
      <c r="F9" s="6" t="n">
        <v>76</v>
      </c>
      <c r="G9" s="7" t="n">
        <v>44827.84</v>
      </c>
      <c r="H9" s="8" t="n">
        <v>73.7</v>
      </c>
      <c r="I9" s="7" t="n">
        <v>589.84</v>
      </c>
    </row>
    <row r="10" customFormat="false" ht="15" hidden="false" customHeight="false" outlineLevel="0" collapsed="false">
      <c r="A10" s="6" t="s">
        <v>41</v>
      </c>
      <c r="B10" s="6" t="s">
        <v>42</v>
      </c>
      <c r="C10" s="6" t="s">
        <v>30</v>
      </c>
      <c r="D10" s="6" t="s">
        <v>37</v>
      </c>
      <c r="E10" s="6" t="s">
        <v>43</v>
      </c>
      <c r="F10" s="6" t="n">
        <v>253</v>
      </c>
      <c r="G10" s="7" t="n">
        <v>151245.93</v>
      </c>
      <c r="H10" s="8" t="n">
        <v>75.6</v>
      </c>
      <c r="I10" s="7" t="n">
        <v>597.81</v>
      </c>
    </row>
    <row r="11" customFormat="false" ht="15" hidden="false" customHeight="false" outlineLevel="0" collapsed="false">
      <c r="A11" s="6" t="s">
        <v>44</v>
      </c>
      <c r="B11" s="6" t="s">
        <v>38</v>
      </c>
      <c r="C11" s="6" t="s">
        <v>21</v>
      </c>
      <c r="D11" s="6" t="s">
        <v>22</v>
      </c>
      <c r="E11" s="6" t="s">
        <v>35</v>
      </c>
      <c r="F11" s="6" t="n">
        <v>241</v>
      </c>
      <c r="G11" s="7" t="n">
        <v>96400</v>
      </c>
      <c r="H11" s="8" t="n">
        <v>74.9</v>
      </c>
      <c r="I11" s="7" t="n">
        <v>400</v>
      </c>
    </row>
    <row r="12" customFormat="false" ht="15" hidden="false" customHeight="false" outlineLevel="0" collapsed="false">
      <c r="A12" s="6" t="s">
        <v>45</v>
      </c>
      <c r="B12" s="6" t="s">
        <v>20</v>
      </c>
      <c r="C12" s="6" t="s">
        <v>30</v>
      </c>
      <c r="D12" s="6" t="s">
        <v>22</v>
      </c>
      <c r="E12" s="6" t="s">
        <v>23</v>
      </c>
      <c r="F12" s="6" t="n">
        <v>236</v>
      </c>
      <c r="G12" s="7" t="n">
        <v>104168.04</v>
      </c>
      <c r="H12" s="8" t="n">
        <v>89</v>
      </c>
      <c r="I12" s="7" t="n">
        <v>441.39</v>
      </c>
    </row>
    <row r="13" customFormat="false" ht="15" hidden="false" customHeight="false" outlineLevel="0" collapsed="false">
      <c r="A13" s="6" t="s">
        <v>46</v>
      </c>
      <c r="B13" s="6" t="s">
        <v>42</v>
      </c>
      <c r="C13" s="6" t="s">
        <v>21</v>
      </c>
      <c r="D13" s="6" t="s">
        <v>37</v>
      </c>
      <c r="E13" s="6" t="s">
        <v>43</v>
      </c>
      <c r="F13" s="6" t="n">
        <v>420</v>
      </c>
      <c r="G13" s="7" t="n">
        <v>250446</v>
      </c>
      <c r="H13" s="8" t="n">
        <v>85.2</v>
      </c>
      <c r="I13" s="7" t="n">
        <v>596.3</v>
      </c>
    </row>
    <row r="14" customFormat="false" ht="15" hidden="false" customHeight="false" outlineLevel="0" collapsed="false">
      <c r="A14" s="6" t="s">
        <v>47</v>
      </c>
      <c r="B14" s="6" t="s">
        <v>25</v>
      </c>
      <c r="C14" s="6" t="s">
        <v>26</v>
      </c>
      <c r="D14" s="6" t="s">
        <v>22</v>
      </c>
      <c r="E14" s="6" t="s">
        <v>27</v>
      </c>
      <c r="F14" s="6" t="n">
        <v>76</v>
      </c>
      <c r="G14" s="7" t="n">
        <v>35152.28</v>
      </c>
      <c r="H14" s="8" t="n">
        <v>78.4</v>
      </c>
      <c r="I14" s="7" t="n">
        <v>462.53</v>
      </c>
    </row>
    <row r="15" customFormat="false" ht="15" hidden="false" customHeight="false" outlineLevel="0" collapsed="false">
      <c r="A15" s="6" t="s">
        <v>48</v>
      </c>
      <c r="B15" s="6" t="s">
        <v>20</v>
      </c>
      <c r="C15" s="6" t="s">
        <v>49</v>
      </c>
      <c r="D15" s="6" t="s">
        <v>37</v>
      </c>
      <c r="E15" s="6" t="s">
        <v>23</v>
      </c>
      <c r="F15" s="6" t="n">
        <v>106</v>
      </c>
      <c r="G15" s="7" t="n">
        <v>75027.86</v>
      </c>
      <c r="H15" s="8" t="n">
        <v>90.4</v>
      </c>
      <c r="I15" s="7" t="n">
        <v>707.81</v>
      </c>
    </row>
    <row r="16" customFormat="false" ht="15" hidden="false" customHeight="false" outlineLevel="0" collapsed="false">
      <c r="A16" s="6" t="s">
        <v>50</v>
      </c>
      <c r="B16" s="6" t="s">
        <v>33</v>
      </c>
      <c r="C16" s="6" t="s">
        <v>30</v>
      </c>
      <c r="D16" s="6" t="s">
        <v>37</v>
      </c>
      <c r="E16" s="6" t="s">
        <v>35</v>
      </c>
      <c r="F16" s="6" t="n">
        <v>389</v>
      </c>
      <c r="G16" s="7" t="n">
        <v>256568.84</v>
      </c>
      <c r="H16" s="8" t="n">
        <v>74.9</v>
      </c>
      <c r="I16" s="7" t="n">
        <v>659.56</v>
      </c>
    </row>
    <row r="17" customFormat="false" ht="15" hidden="false" customHeight="false" outlineLevel="0" collapsed="false">
      <c r="A17" s="6" t="s">
        <v>50</v>
      </c>
      <c r="B17" s="6" t="s">
        <v>33</v>
      </c>
      <c r="C17" s="6" t="s">
        <v>21</v>
      </c>
      <c r="D17" s="6" t="s">
        <v>34</v>
      </c>
      <c r="E17" s="6" t="s">
        <v>35</v>
      </c>
      <c r="F17" s="6" t="n">
        <v>279</v>
      </c>
      <c r="G17" s="7" t="n">
        <v>279214.83</v>
      </c>
      <c r="H17" s="8" t="n">
        <v>78.4</v>
      </c>
      <c r="I17" s="7" t="n">
        <v>1000.77</v>
      </c>
    </row>
    <row r="18" customFormat="false" ht="15" hidden="false" customHeight="false" outlineLevel="0" collapsed="false">
      <c r="A18" s="6" t="s">
        <v>51</v>
      </c>
      <c r="B18" s="6" t="s">
        <v>42</v>
      </c>
      <c r="C18" s="6" t="s">
        <v>26</v>
      </c>
      <c r="D18" s="6" t="s">
        <v>37</v>
      </c>
      <c r="E18" s="6" t="s">
        <v>43</v>
      </c>
      <c r="F18" s="6" t="n">
        <v>334</v>
      </c>
      <c r="G18" s="7" t="n">
        <v>236144.68</v>
      </c>
      <c r="H18" s="8" t="n">
        <v>88</v>
      </c>
      <c r="I18" s="7" t="n">
        <v>707.02</v>
      </c>
    </row>
    <row r="19" customFormat="false" ht="15" hidden="false" customHeight="false" outlineLevel="0" collapsed="false">
      <c r="A19" s="6" t="s">
        <v>52</v>
      </c>
      <c r="B19" s="6" t="s">
        <v>29</v>
      </c>
      <c r="C19" s="6" t="s">
        <v>49</v>
      </c>
      <c r="D19" s="6" t="s">
        <v>37</v>
      </c>
      <c r="E19" s="6" t="s">
        <v>31</v>
      </c>
      <c r="F19" s="6" t="n">
        <v>331</v>
      </c>
      <c r="G19" s="7" t="n">
        <v>243040.06</v>
      </c>
      <c r="H19" s="8" t="n">
        <v>83.6</v>
      </c>
      <c r="I19" s="7" t="n">
        <v>734.26</v>
      </c>
    </row>
    <row r="20" customFormat="false" ht="15" hidden="false" customHeight="false" outlineLevel="0" collapsed="false">
      <c r="A20" s="6" t="s">
        <v>53</v>
      </c>
      <c r="B20" s="6" t="s">
        <v>20</v>
      </c>
      <c r="C20" s="6" t="s">
        <v>49</v>
      </c>
      <c r="D20" s="6" t="s">
        <v>34</v>
      </c>
      <c r="E20" s="6" t="s">
        <v>23</v>
      </c>
      <c r="F20" s="6" t="n">
        <v>276</v>
      </c>
      <c r="G20" s="7" t="n">
        <v>257701.2</v>
      </c>
      <c r="H20" s="8" t="n">
        <v>78</v>
      </c>
      <c r="I20" s="7" t="n">
        <v>933.7</v>
      </c>
    </row>
    <row r="21" customFormat="false" ht="15" hidden="false" customHeight="false" outlineLevel="0" collapsed="false">
      <c r="A21" s="6" t="s">
        <v>54</v>
      </c>
      <c r="B21" s="6" t="s">
        <v>25</v>
      </c>
      <c r="C21" s="6" t="s">
        <v>49</v>
      </c>
      <c r="D21" s="6" t="s">
        <v>39</v>
      </c>
      <c r="E21" s="6" t="s">
        <v>27</v>
      </c>
      <c r="F21" s="6" t="n">
        <v>350</v>
      </c>
      <c r="G21" s="7" t="n">
        <v>940037</v>
      </c>
      <c r="H21" s="8" t="n">
        <v>76.2</v>
      </c>
      <c r="I21" s="7" t="n">
        <v>2685.82</v>
      </c>
    </row>
    <row r="22" customFormat="false" ht="15" hidden="false" customHeight="false" outlineLevel="0" collapsed="false">
      <c r="A22" s="6" t="s">
        <v>54</v>
      </c>
      <c r="B22" s="6" t="s">
        <v>38</v>
      </c>
      <c r="C22" s="6" t="s">
        <v>21</v>
      </c>
      <c r="D22" s="6" t="s">
        <v>39</v>
      </c>
      <c r="E22" s="6" t="s">
        <v>35</v>
      </c>
      <c r="F22" s="6" t="n">
        <v>151</v>
      </c>
      <c r="G22" s="7" t="n">
        <v>372156.11</v>
      </c>
      <c r="H22" s="8" t="n">
        <v>70.8</v>
      </c>
      <c r="I22" s="7" t="n">
        <v>2464.61</v>
      </c>
    </row>
    <row r="23" customFormat="false" ht="15" hidden="false" customHeight="false" outlineLevel="0" collapsed="false">
      <c r="A23" s="6" t="s">
        <v>55</v>
      </c>
      <c r="B23" s="6" t="s">
        <v>42</v>
      </c>
      <c r="C23" s="6" t="s">
        <v>30</v>
      </c>
      <c r="D23" s="6" t="s">
        <v>37</v>
      </c>
      <c r="E23" s="6" t="s">
        <v>43</v>
      </c>
      <c r="F23" s="6" t="n">
        <v>343</v>
      </c>
      <c r="G23" s="7" t="n">
        <v>248633.84</v>
      </c>
      <c r="H23" s="8" t="n">
        <v>68.3</v>
      </c>
      <c r="I23" s="7" t="n">
        <v>724.88</v>
      </c>
    </row>
    <row r="24" customFormat="false" ht="15" hidden="false" customHeight="false" outlineLevel="0" collapsed="false">
      <c r="A24" s="6" t="s">
        <v>55</v>
      </c>
      <c r="B24" s="6" t="s">
        <v>38</v>
      </c>
      <c r="C24" s="6" t="s">
        <v>26</v>
      </c>
      <c r="D24" s="6" t="s">
        <v>22</v>
      </c>
      <c r="E24" s="6" t="s">
        <v>35</v>
      </c>
      <c r="F24" s="6" t="n">
        <v>140</v>
      </c>
      <c r="G24" s="7" t="n">
        <v>59589.6</v>
      </c>
      <c r="H24" s="8" t="n">
        <v>92.8</v>
      </c>
      <c r="I24" s="7" t="n">
        <v>425.64</v>
      </c>
    </row>
    <row r="25" customFormat="false" ht="15" hidden="false" customHeight="false" outlineLevel="0" collapsed="false">
      <c r="A25" s="6" t="s">
        <v>56</v>
      </c>
      <c r="B25" s="6" t="s">
        <v>29</v>
      </c>
      <c r="C25" s="6" t="s">
        <v>21</v>
      </c>
      <c r="D25" s="6" t="s">
        <v>34</v>
      </c>
      <c r="E25" s="6" t="s">
        <v>31</v>
      </c>
      <c r="F25" s="6" t="n">
        <v>319</v>
      </c>
      <c r="G25" s="7" t="n">
        <v>298743.5</v>
      </c>
      <c r="H25" s="8" t="n">
        <v>72</v>
      </c>
      <c r="I25" s="7" t="n">
        <v>936.5</v>
      </c>
    </row>
    <row r="26" customFormat="false" ht="15" hidden="false" customHeight="false" outlineLevel="0" collapsed="false">
      <c r="A26" s="6" t="s">
        <v>57</v>
      </c>
      <c r="B26" s="6" t="s">
        <v>38</v>
      </c>
      <c r="C26" s="6" t="s">
        <v>30</v>
      </c>
      <c r="D26" s="6" t="s">
        <v>22</v>
      </c>
      <c r="E26" s="6" t="s">
        <v>35</v>
      </c>
      <c r="F26" s="6" t="n">
        <v>302</v>
      </c>
      <c r="G26" s="7" t="n">
        <v>139762.58</v>
      </c>
      <c r="H26" s="8" t="n">
        <v>73</v>
      </c>
      <c r="I26" s="7" t="n">
        <v>462.79</v>
      </c>
    </row>
    <row r="27" customFormat="false" ht="15" hidden="false" customHeight="false" outlineLevel="0" collapsed="false">
      <c r="A27" s="6" t="s">
        <v>58</v>
      </c>
      <c r="B27" s="6" t="s">
        <v>29</v>
      </c>
      <c r="C27" s="6" t="s">
        <v>26</v>
      </c>
      <c r="D27" s="6" t="s">
        <v>22</v>
      </c>
      <c r="E27" s="6" t="s">
        <v>31</v>
      </c>
      <c r="F27" s="6" t="n">
        <v>233</v>
      </c>
      <c r="G27" s="7" t="n">
        <v>107659.98</v>
      </c>
      <c r="H27" s="8" t="n">
        <v>70.8</v>
      </c>
      <c r="I27" s="7" t="n">
        <v>462.06</v>
      </c>
    </row>
    <row r="28" customFormat="false" ht="15" hidden="false" customHeight="false" outlineLevel="0" collapsed="false">
      <c r="A28" s="6" t="s">
        <v>59</v>
      </c>
      <c r="B28" s="6" t="s">
        <v>42</v>
      </c>
      <c r="C28" s="6" t="s">
        <v>49</v>
      </c>
      <c r="D28" s="6" t="s">
        <v>37</v>
      </c>
      <c r="E28" s="6" t="s">
        <v>43</v>
      </c>
      <c r="F28" s="6" t="n">
        <v>63</v>
      </c>
      <c r="G28" s="7" t="n">
        <v>37582.02</v>
      </c>
      <c r="H28" s="8" t="n">
        <v>84.4</v>
      </c>
      <c r="I28" s="7" t="n">
        <v>596.54</v>
      </c>
    </row>
    <row r="29" customFormat="false" ht="15" hidden="false" customHeight="false" outlineLevel="0" collapsed="false">
      <c r="A29" s="6" t="s">
        <v>60</v>
      </c>
      <c r="B29" s="6" t="s">
        <v>25</v>
      </c>
      <c r="C29" s="6" t="s">
        <v>26</v>
      </c>
      <c r="D29" s="6" t="s">
        <v>22</v>
      </c>
      <c r="E29" s="6" t="s">
        <v>27</v>
      </c>
      <c r="F29" s="6" t="n">
        <v>245</v>
      </c>
      <c r="G29" s="7" t="n">
        <v>115216.15</v>
      </c>
      <c r="H29" s="8" t="n">
        <v>89.6</v>
      </c>
      <c r="I29" s="7" t="n">
        <v>470.27</v>
      </c>
    </row>
    <row r="30" customFormat="false" ht="15" hidden="false" customHeight="false" outlineLevel="0" collapsed="false">
      <c r="A30" s="6" t="s">
        <v>61</v>
      </c>
      <c r="B30" s="6" t="s">
        <v>20</v>
      </c>
      <c r="C30" s="6" t="s">
        <v>49</v>
      </c>
      <c r="D30" s="6" t="s">
        <v>34</v>
      </c>
      <c r="E30" s="6" t="s">
        <v>23</v>
      </c>
      <c r="F30" s="6" t="n">
        <v>264</v>
      </c>
      <c r="G30" s="7" t="n">
        <v>269918.88</v>
      </c>
      <c r="H30" s="8" t="n">
        <v>84.9</v>
      </c>
      <c r="I30" s="7" t="n">
        <v>1022.42</v>
      </c>
    </row>
    <row r="31" customFormat="false" ht="15" hidden="false" customHeight="false" outlineLevel="0" collapsed="false">
      <c r="A31" s="6" t="s">
        <v>62</v>
      </c>
      <c r="B31" s="6" t="s">
        <v>25</v>
      </c>
      <c r="C31" s="6" t="s">
        <v>49</v>
      </c>
      <c r="D31" s="6" t="s">
        <v>22</v>
      </c>
      <c r="E31" s="6" t="s">
        <v>27</v>
      </c>
      <c r="F31" s="6" t="n">
        <v>350</v>
      </c>
      <c r="G31" s="7" t="n">
        <v>167100.5</v>
      </c>
      <c r="H31" s="8" t="n">
        <v>70.2</v>
      </c>
      <c r="I31" s="7" t="n">
        <v>477.43</v>
      </c>
    </row>
    <row r="32" customFormat="false" ht="15" hidden="false" customHeight="false" outlineLevel="0" collapsed="false">
      <c r="A32" s="6" t="s">
        <v>62</v>
      </c>
      <c r="B32" s="6" t="s">
        <v>33</v>
      </c>
      <c r="C32" s="6" t="s">
        <v>26</v>
      </c>
      <c r="D32" s="6" t="s">
        <v>39</v>
      </c>
      <c r="E32" s="6" t="s">
        <v>35</v>
      </c>
      <c r="F32" s="6" t="n">
        <v>332</v>
      </c>
      <c r="G32" s="7" t="n">
        <v>869674</v>
      </c>
      <c r="H32" s="8" t="n">
        <v>71.3</v>
      </c>
      <c r="I32" s="7" t="n">
        <v>2619.5</v>
      </c>
    </row>
    <row r="33" customFormat="false" ht="15" hidden="false" customHeight="false" outlineLevel="0" collapsed="false">
      <c r="A33" s="6" t="s">
        <v>63</v>
      </c>
      <c r="B33" s="6" t="s">
        <v>33</v>
      </c>
      <c r="C33" s="6" t="s">
        <v>49</v>
      </c>
      <c r="D33" s="6" t="s">
        <v>22</v>
      </c>
      <c r="E33" s="6" t="s">
        <v>35</v>
      </c>
      <c r="F33" s="6" t="n">
        <v>370</v>
      </c>
      <c r="G33" s="7" t="n">
        <v>156299.1</v>
      </c>
      <c r="H33" s="8" t="n">
        <v>73.5</v>
      </c>
      <c r="I33" s="7" t="n">
        <v>422.43</v>
      </c>
    </row>
    <row r="34" customFormat="false" ht="15" hidden="false" customHeight="false" outlineLevel="0" collapsed="false">
      <c r="A34" s="6" t="s">
        <v>63</v>
      </c>
      <c r="B34" s="6" t="s">
        <v>20</v>
      </c>
      <c r="C34" s="6" t="s">
        <v>30</v>
      </c>
      <c r="D34" s="6" t="s">
        <v>22</v>
      </c>
      <c r="E34" s="6" t="s">
        <v>23</v>
      </c>
      <c r="F34" s="6" t="n">
        <v>175</v>
      </c>
      <c r="G34" s="7" t="n">
        <v>67326</v>
      </c>
      <c r="H34" s="8" t="n">
        <v>68.5</v>
      </c>
      <c r="I34" s="7" t="n">
        <v>384.72</v>
      </c>
    </row>
    <row r="35" customFormat="false" ht="15" hidden="false" customHeight="false" outlineLevel="0" collapsed="false">
      <c r="A35" s="6" t="s">
        <v>64</v>
      </c>
      <c r="B35" s="6" t="s">
        <v>38</v>
      </c>
      <c r="C35" s="6" t="s">
        <v>30</v>
      </c>
      <c r="D35" s="6" t="s">
        <v>22</v>
      </c>
      <c r="E35" s="6" t="s">
        <v>35</v>
      </c>
      <c r="F35" s="6" t="n">
        <v>127</v>
      </c>
      <c r="G35" s="7" t="n">
        <v>57651.65</v>
      </c>
      <c r="H35" s="8" t="n">
        <v>90.9</v>
      </c>
      <c r="I35" s="7" t="n">
        <v>453.95</v>
      </c>
    </row>
    <row r="36" customFormat="false" ht="15" hidden="false" customHeight="false" outlineLevel="0" collapsed="false">
      <c r="A36" s="6" t="s">
        <v>65</v>
      </c>
      <c r="B36" s="6" t="s">
        <v>42</v>
      </c>
      <c r="C36" s="6" t="s">
        <v>26</v>
      </c>
      <c r="D36" s="6" t="s">
        <v>39</v>
      </c>
      <c r="E36" s="6" t="s">
        <v>43</v>
      </c>
      <c r="F36" s="6" t="n">
        <v>229</v>
      </c>
      <c r="G36" s="7" t="n">
        <v>504374.79</v>
      </c>
      <c r="H36" s="8" t="n">
        <v>74.2</v>
      </c>
      <c r="I36" s="7" t="n">
        <v>2202.51</v>
      </c>
    </row>
    <row r="37" customFormat="false" ht="15" hidden="false" customHeight="false" outlineLevel="0" collapsed="false">
      <c r="A37" s="6" t="s">
        <v>65</v>
      </c>
      <c r="B37" s="6" t="s">
        <v>29</v>
      </c>
      <c r="C37" s="6" t="s">
        <v>30</v>
      </c>
      <c r="D37" s="6" t="s">
        <v>37</v>
      </c>
      <c r="E37" s="6" t="s">
        <v>31</v>
      </c>
      <c r="F37" s="6" t="n">
        <v>270</v>
      </c>
      <c r="G37" s="7" t="n">
        <v>178440.3</v>
      </c>
      <c r="H37" s="8" t="n">
        <v>87</v>
      </c>
      <c r="I37" s="7" t="n">
        <v>660.89</v>
      </c>
    </row>
    <row r="38" customFormat="false" ht="15" hidden="false" customHeight="false" outlineLevel="0" collapsed="false">
      <c r="A38" s="6" t="s">
        <v>66</v>
      </c>
      <c r="B38" s="6" t="s">
        <v>33</v>
      </c>
      <c r="C38" s="6" t="s">
        <v>26</v>
      </c>
      <c r="D38" s="6" t="s">
        <v>39</v>
      </c>
      <c r="E38" s="6" t="s">
        <v>35</v>
      </c>
      <c r="F38" s="6" t="n">
        <v>181</v>
      </c>
      <c r="G38" s="7" t="n">
        <v>409021.99</v>
      </c>
      <c r="H38" s="8" t="n">
        <v>80.6</v>
      </c>
      <c r="I38" s="7" t="n">
        <v>2259.79</v>
      </c>
    </row>
    <row r="39" customFormat="false" ht="15" hidden="false" customHeight="false" outlineLevel="0" collapsed="false">
      <c r="A39" s="6" t="s">
        <v>67</v>
      </c>
      <c r="B39" s="6" t="s">
        <v>25</v>
      </c>
      <c r="C39" s="6" t="s">
        <v>49</v>
      </c>
      <c r="D39" s="6" t="s">
        <v>37</v>
      </c>
      <c r="E39" s="6" t="s">
        <v>27</v>
      </c>
      <c r="F39" s="6" t="n">
        <v>131</v>
      </c>
      <c r="G39" s="7" t="n">
        <v>85616.36</v>
      </c>
      <c r="H39" s="8" t="n">
        <v>75.2</v>
      </c>
      <c r="I39" s="7" t="n">
        <v>653.56</v>
      </c>
    </row>
    <row r="40" customFormat="false" ht="15" hidden="false" customHeight="false" outlineLevel="0" collapsed="false">
      <c r="A40" s="6" t="s">
        <v>68</v>
      </c>
      <c r="B40" s="6" t="s">
        <v>33</v>
      </c>
      <c r="C40" s="6" t="s">
        <v>30</v>
      </c>
      <c r="D40" s="6" t="s">
        <v>39</v>
      </c>
      <c r="E40" s="6" t="s">
        <v>35</v>
      </c>
      <c r="F40" s="6" t="n">
        <v>144</v>
      </c>
      <c r="G40" s="7" t="n">
        <v>343782.72</v>
      </c>
      <c r="H40" s="8" t="n">
        <v>93.6</v>
      </c>
      <c r="I40" s="7" t="n">
        <v>2387.38</v>
      </c>
    </row>
    <row r="41" customFormat="false" ht="15" hidden="false" customHeight="false" outlineLevel="0" collapsed="false">
      <c r="A41" s="6" t="s">
        <v>68</v>
      </c>
      <c r="B41" s="6" t="s">
        <v>29</v>
      </c>
      <c r="C41" s="6" t="s">
        <v>21</v>
      </c>
      <c r="D41" s="6" t="s">
        <v>39</v>
      </c>
      <c r="E41" s="6" t="s">
        <v>31</v>
      </c>
      <c r="F41" s="6" t="n">
        <v>164</v>
      </c>
      <c r="G41" s="7" t="n">
        <v>420141.76</v>
      </c>
      <c r="H41" s="8" t="n">
        <v>76.2</v>
      </c>
      <c r="I41" s="7" t="n">
        <v>2561.84</v>
      </c>
    </row>
    <row r="42" customFormat="false" ht="15" hidden="false" customHeight="false" outlineLevel="0" collapsed="false">
      <c r="A42" s="6" t="s">
        <v>69</v>
      </c>
      <c r="B42" s="6" t="s">
        <v>42</v>
      </c>
      <c r="C42" s="6" t="s">
        <v>26</v>
      </c>
      <c r="D42" s="6" t="s">
        <v>34</v>
      </c>
      <c r="E42" s="6" t="s">
        <v>43</v>
      </c>
      <c r="F42" s="6" t="n">
        <v>89</v>
      </c>
      <c r="G42" s="7" t="n">
        <v>72282.24</v>
      </c>
      <c r="H42" s="8" t="n">
        <v>80.4</v>
      </c>
      <c r="I42" s="7" t="n">
        <v>812.16</v>
      </c>
    </row>
    <row r="43" customFormat="false" ht="15" hidden="false" customHeight="false" outlineLevel="0" collapsed="false">
      <c r="A43" s="6" t="s">
        <v>70</v>
      </c>
      <c r="B43" s="6" t="s">
        <v>25</v>
      </c>
      <c r="C43" s="6" t="s">
        <v>26</v>
      </c>
      <c r="D43" s="6" t="s">
        <v>37</v>
      </c>
      <c r="E43" s="6" t="s">
        <v>27</v>
      </c>
      <c r="F43" s="6" t="n">
        <v>341</v>
      </c>
      <c r="G43" s="7" t="n">
        <v>204910.31</v>
      </c>
      <c r="H43" s="8" t="n">
        <v>85</v>
      </c>
      <c r="I43" s="7" t="n">
        <v>600.91</v>
      </c>
    </row>
    <row r="44" customFormat="false" ht="15" hidden="false" customHeight="false" outlineLevel="0" collapsed="false">
      <c r="A44" s="6" t="s">
        <v>70</v>
      </c>
      <c r="B44" s="6" t="s">
        <v>20</v>
      </c>
      <c r="C44" s="6" t="s">
        <v>30</v>
      </c>
      <c r="D44" s="6" t="s">
        <v>22</v>
      </c>
      <c r="E44" s="6" t="s">
        <v>23</v>
      </c>
      <c r="F44" s="6" t="n">
        <v>416</v>
      </c>
      <c r="G44" s="7" t="n">
        <v>199064.32</v>
      </c>
      <c r="H44" s="8" t="n">
        <v>93.9</v>
      </c>
      <c r="I44" s="7" t="n">
        <v>478.52</v>
      </c>
    </row>
    <row r="45" customFormat="false" ht="15" hidden="false" customHeight="false" outlineLevel="0" collapsed="false">
      <c r="A45" s="6" t="s">
        <v>71</v>
      </c>
      <c r="B45" s="6" t="s">
        <v>38</v>
      </c>
      <c r="C45" s="6" t="s">
        <v>26</v>
      </c>
      <c r="D45" s="6" t="s">
        <v>37</v>
      </c>
      <c r="E45" s="6" t="s">
        <v>35</v>
      </c>
      <c r="F45" s="6" t="n">
        <v>180</v>
      </c>
      <c r="G45" s="7" t="n">
        <v>117109.8</v>
      </c>
      <c r="H45" s="8" t="n">
        <v>92.5</v>
      </c>
      <c r="I45" s="7" t="n">
        <v>650.61</v>
      </c>
    </row>
    <row r="46" customFormat="false" ht="15" hidden="false" customHeight="false" outlineLevel="0" collapsed="false">
      <c r="A46" s="6" t="s">
        <v>71</v>
      </c>
      <c r="B46" s="6" t="s">
        <v>38</v>
      </c>
      <c r="C46" s="6" t="s">
        <v>49</v>
      </c>
      <c r="D46" s="6" t="s">
        <v>37</v>
      </c>
      <c r="E46" s="6" t="s">
        <v>35</v>
      </c>
      <c r="F46" s="6" t="n">
        <v>80</v>
      </c>
      <c r="G46" s="7" t="n">
        <v>54852</v>
      </c>
      <c r="H46" s="8" t="n">
        <v>78.9</v>
      </c>
      <c r="I46" s="7" t="n">
        <v>685.65</v>
      </c>
    </row>
    <row r="47" customFormat="false" ht="15" hidden="false" customHeight="false" outlineLevel="0" collapsed="false">
      <c r="A47" s="6" t="s">
        <v>72</v>
      </c>
      <c r="B47" s="6" t="s">
        <v>42</v>
      </c>
      <c r="C47" s="6" t="s">
        <v>49</v>
      </c>
      <c r="D47" s="6" t="s">
        <v>22</v>
      </c>
      <c r="E47" s="6" t="s">
        <v>43</v>
      </c>
      <c r="F47" s="6" t="n">
        <v>320</v>
      </c>
      <c r="G47" s="7" t="n">
        <v>123651.2</v>
      </c>
      <c r="H47" s="8" t="n">
        <v>72.8</v>
      </c>
      <c r="I47" s="7" t="n">
        <v>386.41</v>
      </c>
    </row>
    <row r="48" customFormat="false" ht="15" hidden="false" customHeight="false" outlineLevel="0" collapsed="false">
      <c r="A48" s="6" t="s">
        <v>73</v>
      </c>
      <c r="B48" s="6" t="s">
        <v>20</v>
      </c>
      <c r="C48" s="6" t="s">
        <v>30</v>
      </c>
      <c r="D48" s="6" t="s">
        <v>22</v>
      </c>
      <c r="E48" s="6" t="s">
        <v>23</v>
      </c>
      <c r="F48" s="6" t="n">
        <v>211</v>
      </c>
      <c r="G48" s="7" t="n">
        <v>84581.46</v>
      </c>
      <c r="H48" s="8" t="n">
        <v>69.5</v>
      </c>
      <c r="I48" s="7" t="n">
        <v>400.86</v>
      </c>
    </row>
    <row r="49" customFormat="false" ht="15" hidden="false" customHeight="false" outlineLevel="0" collapsed="false">
      <c r="A49" s="6" t="s">
        <v>74</v>
      </c>
      <c r="B49" s="6" t="s">
        <v>29</v>
      </c>
      <c r="C49" s="6" t="s">
        <v>30</v>
      </c>
      <c r="D49" s="6" t="s">
        <v>22</v>
      </c>
      <c r="E49" s="6" t="s">
        <v>31</v>
      </c>
      <c r="F49" s="6" t="n">
        <v>390</v>
      </c>
      <c r="G49" s="7" t="n">
        <v>159705</v>
      </c>
      <c r="H49" s="8" t="n">
        <v>76.2</v>
      </c>
      <c r="I49" s="7" t="n">
        <v>409.5</v>
      </c>
    </row>
    <row r="50" customFormat="false" ht="15" hidden="false" customHeight="false" outlineLevel="0" collapsed="false">
      <c r="A50" s="6" t="s">
        <v>75</v>
      </c>
      <c r="B50" s="6" t="s">
        <v>25</v>
      </c>
      <c r="C50" s="6" t="s">
        <v>26</v>
      </c>
      <c r="D50" s="6" t="s">
        <v>22</v>
      </c>
      <c r="E50" s="6" t="s">
        <v>27</v>
      </c>
      <c r="F50" s="6" t="n">
        <v>378</v>
      </c>
      <c r="G50" s="7" t="n">
        <v>182513.52</v>
      </c>
      <c r="H50" s="8" t="n">
        <v>93.9</v>
      </c>
      <c r="I50" s="7" t="n">
        <v>482.84</v>
      </c>
    </row>
    <row r="51" customFormat="false" ht="15" hidden="false" customHeight="false" outlineLevel="0" collapsed="false">
      <c r="A51" s="6" t="s">
        <v>76</v>
      </c>
      <c r="B51" s="6" t="s">
        <v>33</v>
      </c>
      <c r="C51" s="6" t="s">
        <v>26</v>
      </c>
      <c r="D51" s="6" t="s">
        <v>37</v>
      </c>
      <c r="E51" s="6" t="s">
        <v>35</v>
      </c>
      <c r="F51" s="6" t="n">
        <v>343</v>
      </c>
      <c r="G51" s="7" t="n">
        <v>217341.95</v>
      </c>
      <c r="H51" s="8" t="n">
        <v>85.2</v>
      </c>
      <c r="I51" s="7" t="n">
        <v>633.65</v>
      </c>
    </row>
    <row r="52" customFormat="false" ht="15" hidden="false" customHeight="false" outlineLevel="0" collapsed="false">
      <c r="A52" s="6" t="s">
        <v>76</v>
      </c>
      <c r="B52" s="6" t="s">
        <v>38</v>
      </c>
      <c r="C52" s="6" t="s">
        <v>49</v>
      </c>
      <c r="D52" s="6" t="s">
        <v>37</v>
      </c>
      <c r="E52" s="6" t="s">
        <v>35</v>
      </c>
      <c r="F52" s="6" t="n">
        <v>249</v>
      </c>
      <c r="G52" s="7" t="n">
        <v>169235.34</v>
      </c>
      <c r="H52" s="8" t="n">
        <v>71.9</v>
      </c>
      <c r="I52" s="7" t="n">
        <v>679.66</v>
      </c>
    </row>
    <row r="53" customFormat="false" ht="15" hidden="false" customHeight="false" outlineLevel="0" collapsed="false">
      <c r="A53" s="6" t="s">
        <v>77</v>
      </c>
      <c r="B53" s="6" t="s">
        <v>25</v>
      </c>
      <c r="C53" s="6" t="s">
        <v>49</v>
      </c>
      <c r="D53" s="6" t="s">
        <v>37</v>
      </c>
      <c r="E53" s="6" t="s">
        <v>27</v>
      </c>
      <c r="F53" s="6" t="n">
        <v>127</v>
      </c>
      <c r="G53" s="7" t="n">
        <v>93554.55</v>
      </c>
      <c r="H53" s="8" t="n">
        <v>90.9</v>
      </c>
      <c r="I53" s="7" t="n">
        <v>736.65</v>
      </c>
    </row>
    <row r="54" customFormat="false" ht="15" hidden="false" customHeight="false" outlineLevel="0" collapsed="false">
      <c r="A54" s="6" t="s">
        <v>77</v>
      </c>
      <c r="B54" s="6" t="s">
        <v>29</v>
      </c>
      <c r="C54" s="6" t="s">
        <v>26</v>
      </c>
      <c r="D54" s="6" t="s">
        <v>37</v>
      </c>
      <c r="E54" s="6" t="s">
        <v>31</v>
      </c>
      <c r="F54" s="6" t="n">
        <v>80</v>
      </c>
      <c r="G54" s="7" t="n">
        <v>58486.4</v>
      </c>
      <c r="H54" s="8" t="n">
        <v>73.5</v>
      </c>
      <c r="I54" s="7" t="n">
        <v>731.08</v>
      </c>
    </row>
    <row r="55" customFormat="false" ht="15" hidden="false" customHeight="false" outlineLevel="0" collapsed="false">
      <c r="A55" s="6" t="s">
        <v>78</v>
      </c>
      <c r="B55" s="6" t="s">
        <v>42</v>
      </c>
      <c r="C55" s="6" t="s">
        <v>30</v>
      </c>
      <c r="D55" s="6" t="s">
        <v>22</v>
      </c>
      <c r="E55" s="6" t="s">
        <v>43</v>
      </c>
      <c r="F55" s="6" t="n">
        <v>86</v>
      </c>
      <c r="G55" s="7" t="n">
        <v>33341.34</v>
      </c>
      <c r="H55" s="8" t="n">
        <v>79</v>
      </c>
      <c r="I55" s="7" t="n">
        <v>387.69</v>
      </c>
    </row>
    <row r="56" customFormat="false" ht="15" hidden="false" customHeight="false" outlineLevel="0" collapsed="false">
      <c r="A56" s="6" t="s">
        <v>79</v>
      </c>
      <c r="B56" s="6" t="s">
        <v>20</v>
      </c>
      <c r="C56" s="6" t="s">
        <v>21</v>
      </c>
      <c r="D56" s="6" t="s">
        <v>22</v>
      </c>
      <c r="E56" s="6" t="s">
        <v>23</v>
      </c>
      <c r="F56" s="6" t="n">
        <v>114</v>
      </c>
      <c r="G56" s="7" t="n">
        <v>51978.3</v>
      </c>
      <c r="H56" s="8" t="n">
        <v>72</v>
      </c>
      <c r="I56" s="7" t="n">
        <v>455.95</v>
      </c>
    </row>
    <row r="57" customFormat="false" ht="15" hidden="false" customHeight="false" outlineLevel="0" collapsed="false">
      <c r="A57" s="6" t="s">
        <v>80</v>
      </c>
      <c r="B57" s="6" t="s">
        <v>20</v>
      </c>
      <c r="C57" s="6" t="s">
        <v>49</v>
      </c>
      <c r="D57" s="6" t="s">
        <v>34</v>
      </c>
      <c r="E57" s="6" t="s">
        <v>23</v>
      </c>
      <c r="F57" s="6" t="n">
        <v>164</v>
      </c>
      <c r="G57" s="7" t="n">
        <v>156451.08</v>
      </c>
      <c r="H57" s="8" t="n">
        <v>90.2</v>
      </c>
      <c r="I57" s="7" t="n">
        <v>953.97</v>
      </c>
    </row>
    <row r="58" customFormat="false" ht="15" hidden="false" customHeight="false" outlineLevel="0" collapsed="false">
      <c r="A58" s="6" t="s">
        <v>81</v>
      </c>
      <c r="B58" s="6" t="s">
        <v>33</v>
      </c>
      <c r="C58" s="6" t="s">
        <v>21</v>
      </c>
      <c r="D58" s="6" t="s">
        <v>22</v>
      </c>
      <c r="E58" s="6" t="s">
        <v>35</v>
      </c>
      <c r="F58" s="6" t="n">
        <v>284</v>
      </c>
      <c r="G58" s="7" t="n">
        <v>132213.36</v>
      </c>
      <c r="H58" s="8" t="n">
        <v>86.3</v>
      </c>
      <c r="I58" s="7" t="n">
        <v>465.54</v>
      </c>
    </row>
    <row r="59" customFormat="false" ht="15" hidden="false" customHeight="false" outlineLevel="0" collapsed="false">
      <c r="A59" s="6" t="s">
        <v>81</v>
      </c>
      <c r="B59" s="6" t="s">
        <v>29</v>
      </c>
      <c r="C59" s="6" t="s">
        <v>26</v>
      </c>
      <c r="D59" s="6" t="s">
        <v>37</v>
      </c>
      <c r="E59" s="6" t="s">
        <v>31</v>
      </c>
      <c r="F59" s="6" t="n">
        <v>346</v>
      </c>
      <c r="G59" s="7" t="n">
        <v>252119.82</v>
      </c>
      <c r="H59" s="8" t="n">
        <v>78.6</v>
      </c>
      <c r="I59" s="7" t="n">
        <v>728.67</v>
      </c>
    </row>
    <row r="60" customFormat="false" ht="15" hidden="false" customHeight="false" outlineLevel="0" collapsed="false">
      <c r="A60" s="6" t="s">
        <v>82</v>
      </c>
      <c r="B60" s="6" t="s">
        <v>38</v>
      </c>
      <c r="C60" s="6" t="s">
        <v>30</v>
      </c>
      <c r="D60" s="6" t="s">
        <v>37</v>
      </c>
      <c r="E60" s="6" t="s">
        <v>35</v>
      </c>
      <c r="F60" s="6" t="n">
        <v>278</v>
      </c>
      <c r="G60" s="7" t="n">
        <v>187969.7</v>
      </c>
      <c r="H60" s="8" t="n">
        <v>70.9</v>
      </c>
      <c r="I60" s="7" t="n">
        <v>676.15</v>
      </c>
    </row>
    <row r="61" customFormat="false" ht="15" hidden="false" customHeight="false" outlineLevel="0" collapsed="false">
      <c r="A61" s="6" t="s">
        <v>83</v>
      </c>
      <c r="B61" s="6" t="s">
        <v>42</v>
      </c>
      <c r="C61" s="6" t="s">
        <v>26</v>
      </c>
      <c r="D61" s="6" t="s">
        <v>22</v>
      </c>
      <c r="E61" s="6" t="s">
        <v>43</v>
      </c>
      <c r="F61" s="6" t="n">
        <v>126</v>
      </c>
      <c r="G61" s="7" t="n">
        <v>56057.4</v>
      </c>
      <c r="H61" s="8" t="n">
        <v>74.8</v>
      </c>
      <c r="I61" s="7" t="n">
        <v>444.9</v>
      </c>
    </row>
    <row r="62" customFormat="false" ht="15" hidden="false" customHeight="false" outlineLevel="0" collapsed="false">
      <c r="A62" s="6" t="s">
        <v>84</v>
      </c>
      <c r="B62" s="6" t="s">
        <v>33</v>
      </c>
      <c r="C62" s="6" t="s">
        <v>30</v>
      </c>
      <c r="D62" s="6" t="s">
        <v>34</v>
      </c>
      <c r="E62" s="6" t="s">
        <v>35</v>
      </c>
      <c r="F62" s="6" t="n">
        <v>187</v>
      </c>
      <c r="G62" s="7" t="n">
        <v>160887.32</v>
      </c>
      <c r="H62" s="8" t="n">
        <v>88.5</v>
      </c>
      <c r="I62" s="7" t="n">
        <v>860.36</v>
      </c>
    </row>
    <row r="63" customFormat="false" ht="15" hidden="false" customHeight="false" outlineLevel="0" collapsed="false">
      <c r="A63" s="6" t="s">
        <v>85</v>
      </c>
      <c r="B63" s="6" t="s">
        <v>38</v>
      </c>
      <c r="C63" s="6" t="s">
        <v>21</v>
      </c>
      <c r="D63" s="6" t="s">
        <v>37</v>
      </c>
      <c r="E63" s="6" t="s">
        <v>35</v>
      </c>
      <c r="F63" s="6" t="n">
        <v>321</v>
      </c>
      <c r="G63" s="7" t="n">
        <v>193816.59</v>
      </c>
      <c r="H63" s="8" t="n">
        <v>91.4</v>
      </c>
      <c r="I63" s="7" t="n">
        <v>603.79</v>
      </c>
    </row>
    <row r="64" customFormat="false" ht="15" hidden="false" customHeight="false" outlineLevel="0" collapsed="false">
      <c r="A64" s="6" t="s">
        <v>86</v>
      </c>
      <c r="B64" s="6" t="s">
        <v>42</v>
      </c>
      <c r="C64" s="6" t="s">
        <v>30</v>
      </c>
      <c r="D64" s="6" t="s">
        <v>37</v>
      </c>
      <c r="E64" s="6" t="s">
        <v>43</v>
      </c>
      <c r="F64" s="6" t="n">
        <v>334</v>
      </c>
      <c r="G64" s="7" t="n">
        <v>213362.54</v>
      </c>
      <c r="H64" s="8" t="n">
        <v>68.7</v>
      </c>
      <c r="I64" s="7" t="n">
        <v>638.81</v>
      </c>
    </row>
    <row r="65" customFormat="false" ht="15" hidden="false" customHeight="false" outlineLevel="0" collapsed="false">
      <c r="A65" s="6" t="s">
        <v>87</v>
      </c>
      <c r="B65" s="6" t="s">
        <v>29</v>
      </c>
      <c r="C65" s="6" t="s">
        <v>21</v>
      </c>
      <c r="D65" s="6" t="s">
        <v>37</v>
      </c>
      <c r="E65" s="6" t="s">
        <v>31</v>
      </c>
      <c r="F65" s="6" t="n">
        <v>123</v>
      </c>
      <c r="G65" s="7" t="n">
        <v>86341.08</v>
      </c>
      <c r="H65" s="8" t="n">
        <v>75.8</v>
      </c>
      <c r="I65" s="7" t="n">
        <v>701.96</v>
      </c>
    </row>
    <row r="66" customFormat="false" ht="15" hidden="false" customHeight="false" outlineLevel="0" collapsed="false">
      <c r="A66" s="6" t="s">
        <v>88</v>
      </c>
      <c r="B66" s="6" t="s">
        <v>42</v>
      </c>
      <c r="C66" s="6" t="s">
        <v>49</v>
      </c>
      <c r="D66" s="6" t="s">
        <v>37</v>
      </c>
      <c r="E66" s="6" t="s">
        <v>43</v>
      </c>
      <c r="F66" s="6" t="n">
        <v>195</v>
      </c>
      <c r="G66" s="7" t="n">
        <v>115287.9</v>
      </c>
      <c r="H66" s="8" t="n">
        <v>83.5</v>
      </c>
      <c r="I66" s="7" t="n">
        <v>591.22</v>
      </c>
    </row>
    <row r="67" customFormat="false" ht="15" hidden="false" customHeight="false" outlineLevel="0" collapsed="false">
      <c r="A67" s="6" t="s">
        <v>89</v>
      </c>
      <c r="B67" s="6" t="s">
        <v>20</v>
      </c>
      <c r="C67" s="6" t="s">
        <v>21</v>
      </c>
      <c r="D67" s="6" t="s">
        <v>37</v>
      </c>
      <c r="E67" s="6" t="s">
        <v>23</v>
      </c>
      <c r="F67" s="6" t="n">
        <v>176</v>
      </c>
      <c r="G67" s="7" t="n">
        <v>109336.48</v>
      </c>
      <c r="H67" s="8" t="n">
        <v>85.2</v>
      </c>
      <c r="I67" s="7" t="n">
        <v>621.23</v>
      </c>
    </row>
    <row r="68" customFormat="false" ht="15" hidden="false" customHeight="false" outlineLevel="0" collapsed="false">
      <c r="A68" s="6" t="s">
        <v>90</v>
      </c>
      <c r="B68" s="6" t="s">
        <v>33</v>
      </c>
      <c r="C68" s="6" t="s">
        <v>30</v>
      </c>
      <c r="D68" s="6" t="s">
        <v>34</v>
      </c>
      <c r="E68" s="6" t="s">
        <v>35</v>
      </c>
      <c r="F68" s="6" t="n">
        <v>300</v>
      </c>
      <c r="G68" s="7" t="n">
        <v>255147</v>
      </c>
      <c r="H68" s="8" t="n">
        <v>89.2</v>
      </c>
      <c r="I68" s="7" t="n">
        <v>850.49</v>
      </c>
    </row>
    <row r="69" customFormat="false" ht="15" hidden="false" customHeight="false" outlineLevel="0" collapsed="false">
      <c r="A69" s="6" t="s">
        <v>91</v>
      </c>
      <c r="B69" s="6" t="s">
        <v>38</v>
      </c>
      <c r="C69" s="6" t="s">
        <v>21</v>
      </c>
      <c r="D69" s="6" t="s">
        <v>22</v>
      </c>
      <c r="E69" s="6" t="s">
        <v>35</v>
      </c>
      <c r="F69" s="6" t="n">
        <v>283</v>
      </c>
      <c r="G69" s="7" t="n">
        <v>107024.94</v>
      </c>
      <c r="H69" s="8" t="n">
        <v>92.1</v>
      </c>
      <c r="I69" s="7" t="n">
        <v>378.18</v>
      </c>
    </row>
    <row r="70" customFormat="false" ht="15" hidden="false" customHeight="false" outlineLevel="0" collapsed="false">
      <c r="A70" s="6" t="s">
        <v>92</v>
      </c>
      <c r="B70" s="6" t="s">
        <v>29</v>
      </c>
      <c r="C70" s="6" t="s">
        <v>49</v>
      </c>
      <c r="D70" s="6" t="s">
        <v>37</v>
      </c>
      <c r="E70" s="6" t="s">
        <v>31</v>
      </c>
      <c r="F70" s="6" t="n">
        <v>95</v>
      </c>
      <c r="G70" s="7" t="n">
        <v>70223.05</v>
      </c>
      <c r="H70" s="8" t="n">
        <v>91.9</v>
      </c>
      <c r="I70" s="7" t="n">
        <v>739.19</v>
      </c>
    </row>
    <row r="71" customFormat="false" ht="15" hidden="false" customHeight="false" outlineLevel="0" collapsed="false">
      <c r="A71" s="6" t="s">
        <v>93</v>
      </c>
      <c r="B71" s="6" t="s">
        <v>20</v>
      </c>
      <c r="C71" s="6" t="s">
        <v>21</v>
      </c>
      <c r="D71" s="6" t="s">
        <v>22</v>
      </c>
      <c r="E71" s="6" t="s">
        <v>23</v>
      </c>
      <c r="F71" s="6" t="n">
        <v>95</v>
      </c>
      <c r="G71" s="7" t="n">
        <v>45554.4</v>
      </c>
      <c r="H71" s="8" t="n">
        <v>75.3</v>
      </c>
      <c r="I71" s="7" t="n">
        <v>479.52</v>
      </c>
    </row>
    <row r="72" customFormat="false" ht="15" hidden="false" customHeight="false" outlineLevel="0" collapsed="false">
      <c r="A72" s="6" t="s">
        <v>94</v>
      </c>
      <c r="B72" s="6" t="s">
        <v>25</v>
      </c>
      <c r="C72" s="6" t="s">
        <v>49</v>
      </c>
      <c r="D72" s="6" t="s">
        <v>39</v>
      </c>
      <c r="E72" s="6" t="s">
        <v>27</v>
      </c>
      <c r="F72" s="6" t="n">
        <v>181</v>
      </c>
      <c r="G72" s="7" t="n">
        <v>484855.56</v>
      </c>
      <c r="H72" s="8" t="n">
        <v>93.4</v>
      </c>
      <c r="I72" s="7" t="n">
        <v>2678.76</v>
      </c>
    </row>
    <row r="73" customFormat="false" ht="15" hidden="false" customHeight="false" outlineLevel="0" collapsed="false">
      <c r="A73" s="6" t="s">
        <v>94</v>
      </c>
      <c r="B73" s="6" t="s">
        <v>25</v>
      </c>
      <c r="C73" s="6" t="s">
        <v>49</v>
      </c>
      <c r="D73" s="6" t="s">
        <v>34</v>
      </c>
      <c r="E73" s="6" t="s">
        <v>27</v>
      </c>
      <c r="F73" s="6" t="n">
        <v>72</v>
      </c>
      <c r="G73" s="7" t="n">
        <v>60545.52</v>
      </c>
      <c r="H73" s="8" t="n">
        <v>92</v>
      </c>
      <c r="I73" s="7" t="n">
        <v>840.91</v>
      </c>
    </row>
  </sheetData>
  <conditionalFormatting sqref="G2:G73">
    <cfRule type="dataBar" priority="2">
      <dataBar showValue="1" minLength="10" maxLength="90">
        <cfvo type="min" val="0"/>
        <cfvo type="max" val="0"/>
        <color rgb="FF6A9494"/>
      </dataBar>
      <extLst>
        <ext xmlns:x14="http://schemas.microsoft.com/office/spreadsheetml/2009/9/main" uri="{B025F937-C7B1-47D3-B67F-A62EFF666E3E}">
          <x14:id>{421D2772-4258-4839-B1BD-4C258DE180ED}</x14:id>
        </ext>
      </extLst>
    </cfRule>
  </conditionalFormatting>
  <conditionalFormatting sqref="H2:H7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D2772-4258-4839-B1BD-4C258DE180ED}">
            <x14:dataBar minLength="10" maxLength="90" axisPosition="none" gradient="true">
              <x14:cfvo type="min"/>
              <x14:cfvo type="max"/>
              <x14:negativeFillColor rgb="FF6A9494"/>
              <x14:axisColor rgb="FF000000"/>
            </x14:dataBar>
          </x14:cfRule>
          <xm:sqref>G2:G73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95</v>
      </c>
    </row>
    <row r="2" customFormat="false" ht="15" hidden="false" customHeight="false" outlineLevel="0" collapsed="false">
      <c r="A2" s="9" t="s">
        <v>96</v>
      </c>
    </row>
    <row r="4" customFormat="false" ht="15" hidden="false" customHeight="false" outlineLevel="0" collapsed="false">
      <c r="A4" s="10" t="s">
        <v>97</v>
      </c>
    </row>
    <row r="5" customFormat="false" ht="15" hidden="false" customHeight="false" outlineLevel="0" collapsed="false">
      <c r="A5" s="11" t="s">
        <v>11</v>
      </c>
      <c r="B5" s="11" t="s">
        <v>98</v>
      </c>
      <c r="C5" s="11" t="s">
        <v>99</v>
      </c>
      <c r="D5" s="11" t="s">
        <v>100</v>
      </c>
      <c r="E5" s="11" t="s">
        <v>14</v>
      </c>
    </row>
    <row r="6" customFormat="false" ht="15" hidden="false" customHeight="false" outlineLevel="0" collapsed="false">
      <c r="A6" s="6" t="s">
        <v>25</v>
      </c>
      <c r="B6" s="12" t="n">
        <f aca="false">SUMIFS('Offer &amp; Booking Data'!G:G,'Offer &amp; Booking Data'!B:B,A6)</f>
        <v>2495071.59</v>
      </c>
      <c r="C6" s="6" t="n">
        <f aca="false">SUMIFS('Offer &amp; Booking Data'!F:F,'Offer &amp; Booking Data'!B:B,A6)</f>
        <v>2527</v>
      </c>
      <c r="D6" s="6" t="n">
        <f aca="false">ROUND(AVERAGEIFS('Offer &amp; Booking Data'!H:H,'Offer &amp; Booking Data'!B:B,A6),1)</f>
        <v>82.5</v>
      </c>
      <c r="E6" s="6" t="str">
        <f aca="false">INDEX('Offer &amp; Booking Data'!E:E,MATCH(A6,'Offer &amp; Booking Data'!B:B,0))</f>
        <v>Virgin Atlantic (JV)</v>
      </c>
    </row>
    <row r="7" customFormat="false" ht="15" hidden="false" customHeight="false" outlineLevel="0" collapsed="false">
      <c r="A7" s="6" t="s">
        <v>33</v>
      </c>
      <c r="B7" s="12" t="n">
        <f aca="false">SUMIFS('Offer &amp; Booking Data'!G:G,'Offer &amp; Booking Data'!B:B,A7)</f>
        <v>3415246.64</v>
      </c>
      <c r="C7" s="6" t="n">
        <f aca="false">SUMIFS('Offer &amp; Booking Data'!F:F,'Offer &amp; Booking Data'!B:B,A7)</f>
        <v>3264</v>
      </c>
      <c r="D7" s="6" t="n">
        <f aca="false">ROUND(AVERAGEIFS('Offer &amp; Booking Data'!H:H,'Offer &amp; Booking Data'!B:B,A7),1)</f>
        <v>81.1</v>
      </c>
      <c r="E7" s="6" t="str">
        <f aca="false">INDEX('Offer &amp; Booking Data'!E:E,MATCH(A7,'Offer &amp; Booking Data'!B:B,0))</f>
        <v>Air France-KLM (JV)</v>
      </c>
    </row>
    <row r="8" customFormat="false" ht="15" hidden="false" customHeight="false" outlineLevel="0" collapsed="false">
      <c r="A8" s="6" t="s">
        <v>20</v>
      </c>
      <c r="B8" s="12" t="n">
        <f aca="false">SUMIFS('Offer &amp; Booking Data'!G:G,'Offer &amp; Booking Data'!B:B,A8)</f>
        <v>1502454.72</v>
      </c>
      <c r="C8" s="6" t="n">
        <f aca="false">SUMIFS('Offer &amp; Booking Data'!F:F,'Offer &amp; Booking Data'!B:B,A8)</f>
        <v>2403</v>
      </c>
      <c r="D8" s="6" t="n">
        <f aca="false">ROUND(AVERAGEIFS('Offer &amp; Booking Data'!H:H,'Offer &amp; Booking Data'!B:B,A8),1)</f>
        <v>81.1</v>
      </c>
      <c r="E8" s="6" t="str">
        <f aca="false">INDEX('Offer &amp; Booking Data'!E:E,MATCH(A8,'Offer &amp; Booking Data'!B:B,0))</f>
        <v>None</v>
      </c>
    </row>
    <row r="9" customFormat="false" ht="15" hidden="false" customHeight="false" outlineLevel="0" collapsed="false">
      <c r="A9" s="6" t="s">
        <v>42</v>
      </c>
      <c r="B9" s="12" t="n">
        <f aca="false">SUMIFS('Offer &amp; Booking Data'!G:G,'Offer &amp; Booking Data'!B:B,A9)</f>
        <v>2042409.88</v>
      </c>
      <c r="C9" s="6" t="n">
        <f aca="false">SUMIFS('Offer &amp; Booking Data'!F:F,'Offer &amp; Booking Data'!B:B,A9)</f>
        <v>2792</v>
      </c>
      <c r="D9" s="6" t="n">
        <f aca="false">ROUND(AVERAGEIFS('Offer &amp; Booking Data'!H:H,'Offer &amp; Booking Data'!B:B,A9),1)</f>
        <v>77.9</v>
      </c>
      <c r="E9" s="6" t="str">
        <f aca="false">INDEX('Offer &amp; Booking Data'!E:E,MATCH(A9,'Offer &amp; Booking Data'!B:B,0))</f>
        <v>Aeromexico (JV)</v>
      </c>
    </row>
    <row r="10" customFormat="false" ht="15" hidden="false" customHeight="false" outlineLevel="0" collapsed="false">
      <c r="A10" s="6" t="s">
        <v>38</v>
      </c>
      <c r="B10" s="12" t="n">
        <f aca="false">SUMIFS('Offer &amp; Booking Data'!G:G,'Offer &amp; Booking Data'!B:B,A10)</f>
        <v>2035268.62</v>
      </c>
      <c r="C10" s="6" t="n">
        <f aca="false">SUMIFS('Offer &amp; Booking Data'!F:F,'Offer &amp; Booking Data'!B:B,A10)</f>
        <v>2531</v>
      </c>
      <c r="D10" s="6" t="n">
        <f aca="false">ROUND(AVERAGEIFS('Offer &amp; Booking Data'!H:H,'Offer &amp; Booking Data'!B:B,A10),1)</f>
        <v>81.5</v>
      </c>
      <c r="E10" s="6" t="str">
        <f aca="false">INDEX('Offer &amp; Booking Data'!E:E,MATCH(A10,'Offer &amp; Booking Data'!B:B,0))</f>
        <v>Air France-KLM (JV)</v>
      </c>
    </row>
    <row r="11" customFormat="false" ht="15" hidden="false" customHeight="false" outlineLevel="0" collapsed="false">
      <c r="A11" s="6" t="s">
        <v>29</v>
      </c>
      <c r="B11" s="12" t="n">
        <f aca="false">SUMIFS('Offer &amp; Booking Data'!G:G,'Offer &amp; Booking Data'!B:B,A11)</f>
        <v>2147906.17</v>
      </c>
      <c r="C11" s="6" t="n">
        <f aca="false">SUMIFS('Offer &amp; Booking Data'!F:F,'Offer &amp; Booking Data'!B:B,A11)</f>
        <v>2885</v>
      </c>
      <c r="D11" s="6" t="n">
        <f aca="false">ROUND(AVERAGEIFS('Offer &amp; Booking Data'!H:H,'Offer &amp; Booking Data'!B:B,A11),1)</f>
        <v>77.8</v>
      </c>
      <c r="E11" s="6" t="str">
        <f aca="false">INDEX('Offer &amp; Booking Data'!E:E,MATCH(A11,'Offer &amp; Booking Data'!B:B,0))</f>
        <v>Korean Air (JV)</v>
      </c>
    </row>
    <row r="18" customFormat="false" ht="15" hidden="false" customHeight="false" outlineLevel="0" collapsed="false">
      <c r="A18" s="10" t="s">
        <v>101</v>
      </c>
    </row>
    <row r="19" customFormat="false" ht="15" hidden="false" customHeight="false" outlineLevel="0" collapsed="false">
      <c r="A19" s="11" t="s">
        <v>13</v>
      </c>
      <c r="B19" s="11" t="s">
        <v>99</v>
      </c>
      <c r="C19" s="11" t="s">
        <v>102</v>
      </c>
    </row>
    <row r="20" customFormat="false" ht="15" hidden="false" customHeight="false" outlineLevel="0" collapsed="false">
      <c r="A20" s="6" t="s">
        <v>22</v>
      </c>
      <c r="B20" s="6" t="n">
        <f aca="false">SUMIFS('Offer &amp; Booking Data'!F:F,'Offer &amp; Booking Data'!D:D,A20)</f>
        <v>5955</v>
      </c>
      <c r="C20" s="8" t="n">
        <f aca="false">ROUND(B20/SUM('Offer &amp; Booking Data'!F:F)*100,1)</f>
        <v>36.3</v>
      </c>
    </row>
    <row r="21" customFormat="false" ht="15" hidden="false" customHeight="false" outlineLevel="0" collapsed="false">
      <c r="A21" s="6" t="s">
        <v>37</v>
      </c>
      <c r="B21" s="6" t="n">
        <f aca="false">SUMIFS('Offer &amp; Booking Data'!F:F,'Offer &amp; Booking Data'!D:D,A21)</f>
        <v>6523</v>
      </c>
      <c r="C21" s="8" t="n">
        <f aca="false">ROUND(B21/SUM('Offer &amp; Booking Data'!F:F)*100,1)</f>
        <v>39.8</v>
      </c>
    </row>
    <row r="22" customFormat="false" ht="15" hidden="false" customHeight="false" outlineLevel="0" collapsed="false">
      <c r="A22" s="6" t="s">
        <v>34</v>
      </c>
      <c r="B22" s="6" t="n">
        <f aca="false">SUMIFS('Offer &amp; Booking Data'!F:F,'Offer &amp; Booking Data'!D:D,A22)</f>
        <v>2013</v>
      </c>
      <c r="C22" s="8" t="n">
        <f aca="false">ROUND(B22/SUM('Offer &amp; Booking Data'!F:F)*100,1)</f>
        <v>12.3</v>
      </c>
    </row>
    <row r="23" customFormat="false" ht="15" hidden="false" customHeight="false" outlineLevel="0" collapsed="false">
      <c r="A23" s="6" t="s">
        <v>39</v>
      </c>
      <c r="B23" s="6" t="n">
        <f aca="false">SUMIFS('Offer &amp; Booking Data'!F:F,'Offer &amp; Booking Data'!D:D,A23)</f>
        <v>1911</v>
      </c>
      <c r="C23" s="8" t="n">
        <f aca="false">ROUND(B23/SUM('Offer &amp; Booking Data'!F:F)*100,1)</f>
        <v>11.7</v>
      </c>
    </row>
    <row r="26" customFormat="false" ht="15" hidden="false" customHeight="false" outlineLevel="0" collapsed="false">
      <c r="A26" s="10" t="s">
        <v>103</v>
      </c>
    </row>
    <row r="27" customFormat="false" ht="15" hidden="false" customHeight="false" outlineLevel="0" collapsed="false">
      <c r="A27" s="11" t="s">
        <v>104</v>
      </c>
      <c r="B27" s="11" t="s">
        <v>98</v>
      </c>
      <c r="C27" s="11" t="s">
        <v>100</v>
      </c>
    </row>
    <row r="28" customFormat="false" ht="15" hidden="false" customHeight="false" outlineLevel="0" collapsed="false">
      <c r="A28" s="6" t="s">
        <v>105</v>
      </c>
      <c r="B28" s="12" t="n">
        <f aca="false">SUMIFS('Offer &amp; Booking Data'!G:G,'Offer &amp; Booking Data'!E:E,"&lt;&gt;None")</f>
        <v>12135902.9</v>
      </c>
      <c r="C28" s="6" t="n">
        <f aca="false">ROUND(AVERAGEIFS('Offer &amp; Booking Data'!H:H,'Offer &amp; Booking Data'!E:E,"&lt;&gt;None"),1)</f>
        <v>80.2</v>
      </c>
    </row>
    <row r="29" customFormat="false" ht="15" hidden="false" customHeight="false" outlineLevel="0" collapsed="false">
      <c r="A29" s="6" t="s">
        <v>106</v>
      </c>
      <c r="B29" s="12" t="n">
        <f aca="false">SUMIFS('Offer &amp; Booking Data'!G:G,'Offer &amp; Booking Data'!E:E,"None")</f>
        <v>1502454.72</v>
      </c>
      <c r="C29" s="6" t="n">
        <f aca="false">ROUND(AVERAGEIFS('Offer &amp; Booking Data'!H:H,'Offer &amp; Booking Data'!E:E,"None"),1)</f>
        <v>81.1</v>
      </c>
    </row>
    <row r="32" customFormat="false" ht="15" hidden="false" customHeight="false" outlineLevel="0" collapsed="false">
      <c r="A32" s="10" t="s">
        <v>107</v>
      </c>
    </row>
    <row r="33" customFormat="false" ht="15" hidden="false" customHeight="false" outlineLevel="0" collapsed="false">
      <c r="A33" s="11" t="s">
        <v>108</v>
      </c>
      <c r="B33" s="11" t="s">
        <v>98</v>
      </c>
    </row>
    <row r="34" customFormat="false" ht="15" hidden="false" customHeight="false" outlineLevel="0" collapsed="false">
      <c r="A34" s="6" t="s">
        <v>109</v>
      </c>
      <c r="B34" s="13" t="n">
        <f aca="false">SUMPRODUCT((LEFT('Offer &amp; Booking Data'!A2:A73,7)=A34)*'Offer &amp; Booking Data'!G2:G73)</f>
        <v>1896977.57</v>
      </c>
    </row>
    <row r="35" customFormat="false" ht="15" hidden="false" customHeight="false" outlineLevel="0" collapsed="false">
      <c r="A35" s="6" t="s">
        <v>110</v>
      </c>
      <c r="B35" s="13" t="n">
        <f aca="false">SUMPRODUCT((LEFT('Offer &amp; Booking Data'!A2:A73,7)=A35)*'Offer &amp; Booking Data'!G2:G73)</f>
        <v>3302009.8</v>
      </c>
    </row>
    <row r="36" customFormat="false" ht="15" hidden="false" customHeight="false" outlineLevel="0" collapsed="false">
      <c r="A36" s="6" t="s">
        <v>111</v>
      </c>
      <c r="B36" s="13" t="n">
        <f aca="false">SUMPRODUCT((LEFT('Offer &amp; Booking Data'!A2:A73,7)=A36)*'Offer &amp; Booking Data'!G2:G73)</f>
        <v>2671005.95</v>
      </c>
    </row>
    <row r="37" customFormat="false" ht="15" hidden="false" customHeight="false" outlineLevel="0" collapsed="false">
      <c r="A37" s="6" t="s">
        <v>112</v>
      </c>
      <c r="B37" s="13" t="n">
        <f aca="false">SUMPRODUCT((LEFT('Offer &amp; Booking Data'!A2:A73,7)=A37)*'Offer &amp; Booking Data'!G2:G73)</f>
        <v>2274719.16</v>
      </c>
    </row>
    <row r="38" customFormat="false" ht="15" hidden="false" customHeight="false" outlineLevel="0" collapsed="false">
      <c r="A38" s="6" t="s">
        <v>113</v>
      </c>
      <c r="B38" s="13" t="n">
        <f aca="false">SUMPRODUCT((LEFT('Offer &amp; Booking Data'!A2:A73,7)=A38)*'Offer &amp; Booking Data'!G2:G73)</f>
        <v>1591262.76</v>
      </c>
    </row>
    <row r="39" customFormat="false" ht="15" hidden="false" customHeight="false" outlineLevel="0" collapsed="false">
      <c r="A39" s="6" t="s">
        <v>114</v>
      </c>
      <c r="B39" s="13" t="n">
        <f aca="false">SUMPRODUCT((LEFT('Offer &amp; Booking Data'!A2:A73,7)=A39)*'Offer &amp; Booking Data'!G2:G73)</f>
        <v>1902382.38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115</v>
      </c>
    </row>
    <row r="3" customFormat="false" ht="33.75" hidden="false" customHeight="true" outlineLevel="0" collapsed="false">
      <c r="A3" s="4" t="s">
        <v>116</v>
      </c>
    </row>
    <row r="4" customFormat="false" ht="7.5" hidden="false" customHeight="true" outlineLevel="0" collapsed="false">
      <c r="A4" s="4"/>
    </row>
    <row r="5" customFormat="false" ht="33.75" hidden="false" customHeight="true" outlineLevel="0" collapsed="false">
      <c r="A5" s="4" t="s">
        <v>117</v>
      </c>
    </row>
    <row r="6" customFormat="false" ht="7.5" hidden="false" customHeight="true" outlineLevel="0" collapsed="false">
      <c r="A6" s="4"/>
    </row>
    <row r="7" customFormat="false" ht="33.75" hidden="false" customHeight="true" outlineLevel="0" collapsed="false">
      <c r="A7" s="4" t="s">
        <v>118</v>
      </c>
    </row>
    <row r="8" customFormat="false" ht="7.5" hidden="false" customHeight="true" outlineLevel="0" collapsed="false">
      <c r="A8" s="4"/>
    </row>
    <row r="9" customFormat="false" ht="33.75" hidden="false" customHeight="true" outlineLevel="0" collapsed="false">
      <c r="A9" s="4" t="s">
        <v>119</v>
      </c>
    </row>
    <row r="10" customFormat="false" ht="7.5" hidden="false" customHeight="true" outlineLevel="0" collapsed="false">
      <c r="A10" s="4"/>
    </row>
    <row r="11" customFormat="false" ht="33.75" hidden="false" customHeight="true" outlineLevel="0" collapsed="false">
      <c r="A11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2026-08-28T06:03:27Z</dcterms:created>
  <dc:creator>openpyxl</dc:creator>
  <dc:description/>
  <dc:language>en-US</dc:language>
  <cp:lastModifiedBy/>
  <dcterms:modified xsi:type="dcterms:W3CDTF">2026-08-28T06:03:33Z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