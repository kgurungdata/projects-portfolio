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kgurung/Downloads/"/>
    </mc:Choice>
  </mc:AlternateContent>
  <xr:revisionPtr revIDLastSave="0" documentId="13_ncr:1_{AFEECAA4-C8D5-F449-B154-6E9C5ED894BF}" xr6:coauthVersionLast="47" xr6:coauthVersionMax="47" xr10:uidLastSave="{00000000-0000-0000-0000-000000000000}"/>
  <bookViews>
    <workbookView xWindow="0" yWindow="780" windowWidth="34200" windowHeight="20460" tabRatio="500" activeTab="1" xr2:uid="{00000000-000D-0000-FFFF-FFFF00000000}"/>
  </bookViews>
  <sheets>
    <sheet name="Overview" sheetId="1" r:id="rId1"/>
    <sheet name="Escalation Analysis" sheetId="3" r:id="rId2"/>
    <sheet name="Ticket Log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3" l="1"/>
  <c r="B24" i="3"/>
  <c r="B22" i="3"/>
  <c r="B23" i="3" s="1"/>
  <c r="B21" i="3"/>
  <c r="B18" i="3"/>
  <c r="B17" i="3"/>
  <c r="B16" i="3"/>
  <c r="B15" i="3"/>
  <c r="B14" i="3"/>
  <c r="C10" i="3"/>
  <c r="D10" i="3" s="1"/>
  <c r="B10" i="3"/>
  <c r="C9" i="3"/>
  <c r="D9" i="3" s="1"/>
  <c r="B9" i="3"/>
  <c r="C8" i="3"/>
  <c r="D8" i="3" s="1"/>
  <c r="B8" i="3"/>
  <c r="C7" i="3"/>
  <c r="B7" i="3"/>
  <c r="D7" i="3" s="1"/>
  <c r="C6" i="3"/>
  <c r="D6" i="3" s="1"/>
  <c r="B6" i="3"/>
  <c r="C5" i="3"/>
  <c r="D5" i="3" s="1"/>
  <c r="B5" i="3"/>
  <c r="B26" i="3" l="1"/>
</calcChain>
</file>

<file path=xl/sharedStrings.xml><?xml version="1.0" encoding="utf-8"?>
<sst xmlns="http://schemas.openxmlformats.org/spreadsheetml/2006/main" count="229" uniqueCount="120">
  <si>
    <t>Helpdesk Escalation Ticket Analysis</t>
  </si>
  <si>
    <t>Self-directed practice project analyzing which problem types drive helpdesk escalations</t>
  </si>
  <si>
    <t>This workbook simulates a helpdesk/issue-resolution ticket queue and analyzes which problem categories escalate most often, why, and how escalated tickets compare to first-line resolutions on time to resolve. It's modeled on real frontline support patterns - most tickets are resolved directly, but some require escalation because they're outside first-line scope (admin-level access, hardware replacement, vendor involvement) or point to a deeper, unresolved root cause.
Sheets:
1. Ticket Log - 30 simulated helpdesk tickets across 6 problem categories, each marked as escalated or resolved at first line, with an escalation reason where applicable.
2. Escalation Analysis - formulas and charts summarizing escalation rate by category, top escalation reasons, and resolution-time comparison between escalated and first-line-resolved tickets.</t>
  </si>
  <si>
    <t>Ticket ID</t>
  </si>
  <si>
    <t>Date</t>
  </si>
  <si>
    <t>Category</t>
  </si>
  <si>
    <t>Problem Description</t>
  </si>
  <si>
    <t>Escalated (Y/N)</t>
  </si>
  <si>
    <t>Escalation Reason</t>
  </si>
  <si>
    <t>Time to Resolve (hrs)</t>
  </si>
  <si>
    <t>Resolved By</t>
  </si>
  <si>
    <t>TCK-3001</t>
  </si>
  <si>
    <t>2026-07-01</t>
  </si>
  <si>
    <t>Network/WiFi</t>
  </si>
  <si>
    <t>Guest WiFi network down store-wide</t>
  </si>
  <si>
    <t>Y</t>
  </si>
  <si>
    <t>Vendor/third-party involvement needed</t>
  </si>
  <si>
    <t>Tier 2/ISP</t>
  </si>
  <si>
    <t>TCK-3002</t>
  </si>
  <si>
    <t>Hardware</t>
  </si>
  <si>
    <t>Handheld scanner battery not holding charge</t>
  </si>
  <si>
    <t>N</t>
  </si>
  <si>
    <t>Tier 1</t>
  </si>
  <si>
    <t>TCK-3003</t>
  </si>
  <si>
    <t>Software</t>
  </si>
  <si>
    <t>Inventory app crashing on bulk barcode scan</t>
  </si>
  <si>
    <t>Beyond first-line troubleshooting scope</t>
  </si>
  <si>
    <t>App Support</t>
  </si>
  <si>
    <t>TCK-3004</t>
  </si>
  <si>
    <t>2026-07-02</t>
  </si>
  <si>
    <t>Account/Access</t>
  </si>
  <si>
    <t>Associate locked out after password expired</t>
  </si>
  <si>
    <t>TCK-3005</t>
  </si>
  <si>
    <t>Email</t>
  </si>
  <si>
    <t>Manager not receiving daily reporting emails</t>
  </si>
  <si>
    <t>TCK-3006</t>
  </si>
  <si>
    <t>Printer</t>
  </si>
  <si>
    <t>Label printer offline at receiving dock</t>
  </si>
  <si>
    <t>TCK-3007</t>
  </si>
  <si>
    <t>2026-07-03</t>
  </si>
  <si>
    <t>New hire access request needs elevated system permissions</t>
  </si>
  <si>
    <t>Required admin-level access</t>
  </si>
  <si>
    <t>IT Admin</t>
  </si>
  <si>
    <t>TCK-3008</t>
  </si>
  <si>
    <t>Monitor at service desk showing no display</t>
  </si>
  <si>
    <t>TCK-3009</t>
  </si>
  <si>
    <t>Device dropping WiFi connection intermittently</t>
  </si>
  <si>
    <t>TCK-3010</t>
  </si>
  <si>
    <t>2026-07-04</t>
  </si>
  <si>
    <t>POS terminal freezing during checkout, third occurrence this month</t>
  </si>
  <si>
    <t>Repeat issue - root cause unresolved</t>
  </si>
  <si>
    <t>TCK-3011</t>
  </si>
  <si>
    <t>Barcode scanner not reading damaged labels consistently</t>
  </si>
  <si>
    <t>TCK-3012</t>
  </si>
  <si>
    <t>2026-07-05</t>
  </si>
  <si>
    <t>Associate email flagged for suspicious login attempt</t>
  </si>
  <si>
    <t>Security Team</t>
  </si>
  <si>
    <t>TCK-3013</t>
  </si>
  <si>
    <t>Two printers conflicting, jobs routing to wrong device</t>
  </si>
  <si>
    <t>TCK-3014</t>
  </si>
  <si>
    <t>2026-07-06</t>
  </si>
  <si>
    <t>VPN connection dropping for remote employee</t>
  </si>
  <si>
    <t>TCK-3015</t>
  </si>
  <si>
    <t>Replacement laptop needed after liquid damage</t>
  </si>
  <si>
    <t>Hardware replacement needed</t>
  </si>
  <si>
    <t>Asset Management</t>
  </si>
  <si>
    <t>TCK-3016</t>
  </si>
  <si>
    <t>2026-07-07</t>
  </si>
  <si>
    <t>Associate unable to access shared drive after dept. transfer</t>
  </si>
  <si>
    <t>TCK-3017</t>
  </si>
  <si>
    <t>Reporting dashboard showing outdated numbers, nightly job stalled</t>
  </si>
  <si>
    <t>Engineering</t>
  </si>
  <si>
    <t>TCK-3018</t>
  </si>
  <si>
    <t>2026-07-08</t>
  </si>
  <si>
    <t>Receipt printer printing garbled text</t>
  </si>
  <si>
    <t>TCK-3019</t>
  </si>
  <si>
    <t>Access point needs replacement, third outage this month at same location</t>
  </si>
  <si>
    <t>Facilities</t>
  </si>
  <si>
    <t>TCK-3020</t>
  </si>
  <si>
    <t>2026-07-09</t>
  </si>
  <si>
    <t>Filter rule misrouting sender domain to spam</t>
  </si>
  <si>
    <t>TCK-3021</t>
  </si>
  <si>
    <t>Docking station not charging laptop reliably</t>
  </si>
  <si>
    <t>TCK-3022</t>
  </si>
  <si>
    <t>2026-07-10</t>
  </si>
  <si>
    <t>Reporting tool license expired, needs procurement</t>
  </si>
  <si>
    <t>Procurement/Vendor</t>
  </si>
  <si>
    <t>TCK-3023</t>
  </si>
  <si>
    <t>Manager needs temporary elevated access for month-end reporting</t>
  </si>
  <si>
    <t>TCK-3024</t>
  </si>
  <si>
    <t>2026-07-11</t>
  </si>
  <si>
    <t>Print spooler stalled, jobs stuck in queue</t>
  </si>
  <si>
    <t>TCK-3025</t>
  </si>
  <si>
    <t>Router restart resolved intermittent drops</t>
  </si>
  <si>
    <t>TCK-3026</t>
  </si>
  <si>
    <t>2026-07-12</t>
  </si>
  <si>
    <t>Tablet used for curbside pickup not charging, cable failure</t>
  </si>
  <si>
    <t>TCK-3027</t>
  </si>
  <si>
    <t>Project tracking tool not syncing across team</t>
  </si>
  <si>
    <t>TCK-3028</t>
  </si>
  <si>
    <t>2026-07-13</t>
  </si>
  <si>
    <t>Same associate locked out for the second time this week</t>
  </si>
  <si>
    <t>TCK-3029</t>
  </si>
  <si>
    <t>Mailbox over storage limit, bulk archive needed</t>
  </si>
  <si>
    <t>TCK-3030</t>
  </si>
  <si>
    <t>2026-07-14</t>
  </si>
  <si>
    <t>Application requires vendor patch for known bug</t>
  </si>
  <si>
    <t>Vendor Support</t>
  </si>
  <si>
    <t>Escalation Analysis</t>
  </si>
  <si>
    <t>Rolled up from the Ticket Log (practice data).</t>
  </si>
  <si>
    <t>Total Tickets</t>
  </si>
  <si>
    <t>Escalated</t>
  </si>
  <si>
    <t>Escalation Rate</t>
  </si>
  <si>
    <t># Tickets</t>
  </si>
  <si>
    <t>Total Escalated</t>
  </si>
  <si>
    <t>Overall Escalation Rate</t>
  </si>
  <si>
    <t>Avg Time to Resolve - Escalated (hrs)</t>
  </si>
  <si>
    <t>Avg Time to Resolve - First-Line (hrs)</t>
  </si>
  <si>
    <t>Category with Highest Escalation Rate</t>
  </si>
  <si>
    <t>Reading this report: categories with a high escalation rate (Hardware, Software) tend to need physical replacement or vendor/engineering involvement that first-line support can't resolve alone. Categories with a low escalation rate (Printer, Email) are mostly resolved with a standard first-line fix. Repeat escalations ("root cause unresolved") point to issues worth flagging for a permanent fix rather than re-solving the same ticket every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</si>
</sst>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222222"/>
      <name val="Arial"/>
      <family val="2"/>
    </font>
    <font>
      <b/>
      <sz val="14"/>
      <color rgb="FF222222"/>
      <name val="Arial"/>
      <family val="2"/>
    </font>
    <font>
      <i/>
      <sz val="10"/>
      <color rgb="FF555555"/>
      <name val="Arial"/>
      <family val="2"/>
    </font>
    <font>
      <sz val="10"/>
      <name val="Arial"/>
      <family val="2"/>
    </font>
    <font>
      <b/>
      <sz val="13"/>
      <color rgb="FF222222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>
      <alignment horizontal="center" vertical="center" wrapText="1"/>
    </xf>
  </cellStyleXfs>
  <cellXfs count="16">
    <xf numFmtId="0" fontId="0" fillId="0" borderId="0" xfId="0"/>
    <xf numFmtId="0" fontId="1" fillId="2" borderId="1" xfId="1">
      <alignment horizontal="center" vertical="center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7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</cellXfs>
  <cellStyles count="2">
    <cellStyle name="Normal" xfId="0" builtinId="0"/>
    <cellStyle name="Report Header" xfId="1" xr:uid="{00000000-0005-0000-0000-000006000000}"/>
  </cellStyles>
  <dxfs count="1">
    <dxf>
      <fill>
        <patternFill>
          <bgColor rgb="FFFFF3B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Escalation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'Escalation Analysis'!$D$4</c:f>
              <c:strCache>
                <c:ptCount val="1"/>
                <c:pt idx="0">
                  <c:v>Escalation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'Escalation Analysis'!$A$5:$A$10</c:f>
              <c:strCache>
                <c:ptCount val="6"/>
                <c:pt idx="0">
                  <c:v>Network/WiFi</c:v>
                </c:pt>
                <c:pt idx="1">
                  <c:v>Hardware</c:v>
                </c:pt>
                <c:pt idx="2">
                  <c:v>Software</c:v>
                </c:pt>
                <c:pt idx="3">
                  <c:v>Account/Access</c:v>
                </c:pt>
                <c:pt idx="4">
                  <c:v>Email</c:v>
                </c:pt>
                <c:pt idx="5">
                  <c:v>Printer</c:v>
                </c:pt>
              </c:strCache>
            </c:strRef>
          </c:cat>
          <c:val>
            <c:numRef>
              <c:f>'Escalation Analysis'!$D$5:$D$10</c:f>
              <c:numCache>
                <c:formatCode>0.0%</c:formatCode>
                <c:ptCount val="6"/>
                <c:pt idx="0">
                  <c:v>0.4</c:v>
                </c:pt>
                <c:pt idx="1">
                  <c:v>0.16700000000000001</c:v>
                </c:pt>
                <c:pt idx="2">
                  <c:v>0.83299999999999996</c:v>
                </c:pt>
                <c:pt idx="3">
                  <c:v>0.6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5-A74B-A8DD-27371B3ED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61361"/>
        <c:axId val="7737369"/>
      </c:barChart>
      <c:catAx>
        <c:axId val="85361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7369"/>
        <c:crosses val="autoZero"/>
        <c:auto val="1"/>
        <c:lblAlgn val="ctr"/>
        <c:lblOffset val="100"/>
        <c:noMultiLvlLbl val="0"/>
      </c:catAx>
      <c:valAx>
        <c:axId val="7737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Escalation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61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Escalation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'Escalation Analysis'!$B$13</c:f>
              <c:strCache>
                <c:ptCount val="1"/>
                <c:pt idx="0">
                  <c:v># 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C9C-2340-955B-5640C279EBB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C9C-2340-955B-5640C279EBB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C9C-2340-955B-5640C279EBB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C9C-2340-955B-5640C279EBB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C9C-2340-955B-5640C279EB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9C-2340-955B-5640C279EB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9C-2340-955B-5640C279EBB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9C-2340-955B-5640C279EBB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9C-2340-955B-5640C279EBB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9C-2340-955B-5640C279E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'Escalation Analysis'!$A$14:$A$18</c:f>
              <c:strCache>
                <c:ptCount val="5"/>
                <c:pt idx="0">
                  <c:v>Required admin-level access</c:v>
                </c:pt>
                <c:pt idx="1">
                  <c:v>Hardware replacement needed</c:v>
                </c:pt>
                <c:pt idx="2">
                  <c:v>Vendor/third-party involvement needed</c:v>
                </c:pt>
                <c:pt idx="3">
                  <c:v>Beyond first-line troubleshooting scope</c:v>
                </c:pt>
                <c:pt idx="4">
                  <c:v>Repeat issue - root cause unresolved</c:v>
                </c:pt>
              </c:strCache>
            </c:strRef>
          </c:cat>
          <c:val>
            <c:numRef>
              <c:f>'Escalation Analysis'!$B$14:$B$18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9C-2340-955B-5640C279E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176040</xdr:rowOff>
    </xdr:from>
    <xdr:to>
      <xdr:col>13</xdr:col>
      <xdr:colOff>147600</xdr:colOff>
      <xdr:row>16</xdr:row>
      <xdr:rowOff>28800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175680</xdr:rowOff>
    </xdr:from>
    <xdr:to>
      <xdr:col>13</xdr:col>
      <xdr:colOff>147600</xdr:colOff>
      <xdr:row>32</xdr:row>
      <xdr:rowOff>28440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Log" displayName="TicketLog" ref="A1:H31" totalsRowShown="0">
  <autoFilter ref="A1:H31" xr:uid="{00000000-0009-0000-0100-000001000000}"/>
  <tableColumns count="8">
    <tableColumn id="1" xr3:uid="{00000000-0010-0000-0000-000001000000}" name="Ticket ID"/>
    <tableColumn id="2" xr3:uid="{00000000-0010-0000-0000-000002000000}" name="Date"/>
    <tableColumn id="3" xr3:uid="{00000000-0010-0000-0000-000003000000}" name="Category"/>
    <tableColumn id="4" xr3:uid="{00000000-0010-0000-0000-000004000000}" name="Problem Description"/>
    <tableColumn id="5" xr3:uid="{00000000-0010-0000-0000-000005000000}" name="Escalated (Y/N)"/>
    <tableColumn id="6" xr3:uid="{00000000-0010-0000-0000-000006000000}" name="Escalation Reason"/>
    <tableColumn id="7" xr3:uid="{00000000-0010-0000-0000-000007000000}" name="Time to Resolve (hrs)"/>
    <tableColumn id="8" xr3:uid="{00000000-0010-0000-0000-000008000000}" name="Resolved 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6" width="14" customWidth="1"/>
  </cols>
  <sheetData>
    <row r="1" spans="1:6" ht="18" x14ac:dyDescent="0.2">
      <c r="A1" s="13" t="s">
        <v>0</v>
      </c>
      <c r="B1" s="13"/>
      <c r="C1" s="13"/>
      <c r="D1" s="13"/>
      <c r="E1" s="13"/>
      <c r="F1" s="13"/>
    </row>
    <row r="2" spans="1:6" x14ac:dyDescent="0.2">
      <c r="A2" s="14" t="s">
        <v>1</v>
      </c>
      <c r="B2" s="14"/>
      <c r="C2" s="14"/>
      <c r="D2" s="14"/>
      <c r="E2" s="14"/>
      <c r="F2" s="14"/>
    </row>
    <row r="4" spans="1:6" ht="189.75" customHeight="1" x14ac:dyDescent="0.2">
      <c r="A4" s="15" t="s">
        <v>2</v>
      </c>
      <c r="B4" s="15"/>
      <c r="C4" s="15"/>
      <c r="D4" s="15"/>
      <c r="E4" s="15"/>
      <c r="F4" s="15"/>
    </row>
    <row r="5" spans="1:6" x14ac:dyDescent="0.2">
      <c r="A5" s="15"/>
      <c r="B5" s="15"/>
      <c r="C5" s="15"/>
      <c r="D5" s="15"/>
      <c r="E5" s="15"/>
      <c r="F5" s="15"/>
    </row>
    <row r="6" spans="1:6" x14ac:dyDescent="0.2">
      <c r="A6" s="15"/>
      <c r="B6" s="15"/>
      <c r="C6" s="15"/>
      <c r="D6" s="15"/>
      <c r="E6" s="15"/>
      <c r="F6" s="15"/>
    </row>
    <row r="7" spans="1:6" x14ac:dyDescent="0.2">
      <c r="A7" s="15"/>
      <c r="B7" s="15"/>
      <c r="C7" s="15"/>
      <c r="D7" s="15"/>
      <c r="E7" s="15"/>
      <c r="F7" s="15"/>
    </row>
    <row r="8" spans="1:6" x14ac:dyDescent="0.2">
      <c r="A8" s="15"/>
      <c r="B8" s="15"/>
      <c r="C8" s="15"/>
      <c r="D8" s="15"/>
      <c r="E8" s="15"/>
      <c r="F8" s="15"/>
    </row>
    <row r="9" spans="1:6" x14ac:dyDescent="0.2">
      <c r="A9" s="15"/>
      <c r="B9" s="15"/>
      <c r="C9" s="15"/>
      <c r="D9" s="15"/>
      <c r="E9" s="15"/>
      <c r="F9" s="15"/>
    </row>
    <row r="10" spans="1:6" x14ac:dyDescent="0.2">
      <c r="A10" s="15"/>
      <c r="B10" s="15"/>
      <c r="C10" s="15"/>
      <c r="D10" s="15"/>
      <c r="E10" s="15"/>
      <c r="F10" s="15"/>
    </row>
    <row r="11" spans="1:6" x14ac:dyDescent="0.2">
      <c r="A11" s="15"/>
      <c r="B11" s="15"/>
      <c r="C11" s="15"/>
      <c r="D11" s="15"/>
      <c r="E11" s="15"/>
      <c r="F11" s="15"/>
    </row>
    <row r="12" spans="1:6" x14ac:dyDescent="0.2">
      <c r="A12" s="15"/>
      <c r="B12" s="15"/>
      <c r="C12" s="15"/>
      <c r="D12" s="15"/>
      <c r="E12" s="15"/>
      <c r="F12" s="15"/>
    </row>
    <row r="13" spans="1:6" x14ac:dyDescent="0.2">
      <c r="A13" s="15"/>
      <c r="B13" s="15"/>
      <c r="C13" s="15"/>
      <c r="D13" s="15"/>
      <c r="E13" s="15"/>
      <c r="F13" s="15"/>
    </row>
    <row r="14" spans="1:6" x14ac:dyDescent="0.2">
      <c r="A14" s="15"/>
      <c r="B14" s="15"/>
      <c r="C14" s="15"/>
      <c r="D14" s="15"/>
      <c r="E14" s="15"/>
      <c r="F14" s="15"/>
    </row>
  </sheetData>
  <mergeCells count="3">
    <mergeCell ref="A1:F1"/>
    <mergeCell ref="A2:F2"/>
    <mergeCell ref="A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30" customWidth="1"/>
    <col min="2" max="3" width="12" customWidth="1"/>
    <col min="4" max="4" width="16" customWidth="1"/>
  </cols>
  <sheetData>
    <row r="1" spans="1:4" ht="17" x14ac:dyDescent="0.2">
      <c r="A1" s="10" t="s">
        <v>108</v>
      </c>
      <c r="B1" s="10"/>
      <c r="C1" s="10"/>
      <c r="D1" s="10"/>
    </row>
    <row r="2" spans="1:4" x14ac:dyDescent="0.2">
      <c r="A2" s="11" t="s">
        <v>109</v>
      </c>
      <c r="B2" s="11"/>
      <c r="C2" s="11"/>
      <c r="D2" s="11"/>
    </row>
    <row r="4" spans="1:4" x14ac:dyDescent="0.2">
      <c r="A4" s="4" t="s">
        <v>5</v>
      </c>
      <c r="B4" s="4" t="s">
        <v>110</v>
      </c>
      <c r="C4" s="4" t="s">
        <v>111</v>
      </c>
      <c r="D4" s="4" t="s">
        <v>112</v>
      </c>
    </row>
    <row r="5" spans="1:4" x14ac:dyDescent="0.2">
      <c r="A5" s="5" t="s">
        <v>13</v>
      </c>
      <c r="B5" s="5">
        <f>COUNTIFS('Ticket Log'!C2:C31,A5)</f>
        <v>5</v>
      </c>
      <c r="C5" s="5">
        <f>COUNTIFS('Ticket Log'!C2:C31,A5,'Ticket Log'!E2:E31,"Y")</f>
        <v>2</v>
      </c>
      <c r="D5" s="6">
        <f t="shared" ref="D5:D10" si="0">IFERROR(ROUND(C5/B5,3),0)</f>
        <v>0.4</v>
      </c>
    </row>
    <row r="6" spans="1:4" x14ac:dyDescent="0.2">
      <c r="A6" s="5" t="s">
        <v>19</v>
      </c>
      <c r="B6" s="5">
        <f>COUNTIFS('Ticket Log'!C2:C31,A6)</f>
        <v>6</v>
      </c>
      <c r="C6" s="5">
        <f>COUNTIFS('Ticket Log'!C2:C31,A6,'Ticket Log'!E2:E31,"Y")</f>
        <v>1</v>
      </c>
      <c r="D6" s="6">
        <f t="shared" si="0"/>
        <v>0.16700000000000001</v>
      </c>
    </row>
    <row r="7" spans="1:4" x14ac:dyDescent="0.2">
      <c r="A7" s="5" t="s">
        <v>24</v>
      </c>
      <c r="B7" s="5">
        <f>COUNTIFS('Ticket Log'!C2:C31,A7)</f>
        <v>6</v>
      </c>
      <c r="C7" s="5">
        <f>COUNTIFS('Ticket Log'!C2:C31,A7,'Ticket Log'!E2:E31,"Y")</f>
        <v>5</v>
      </c>
      <c r="D7" s="6">
        <f t="shared" si="0"/>
        <v>0.83299999999999996</v>
      </c>
    </row>
    <row r="8" spans="1:4" x14ac:dyDescent="0.2">
      <c r="A8" s="5" t="s">
        <v>30</v>
      </c>
      <c r="B8" s="5">
        <f>COUNTIFS('Ticket Log'!C2:C31,A8)</f>
        <v>5</v>
      </c>
      <c r="C8" s="5">
        <f>COUNTIFS('Ticket Log'!C2:C31,A8,'Ticket Log'!E2:E31,"Y")</f>
        <v>3</v>
      </c>
      <c r="D8" s="6">
        <f t="shared" si="0"/>
        <v>0.6</v>
      </c>
    </row>
    <row r="9" spans="1:4" x14ac:dyDescent="0.2">
      <c r="A9" s="5" t="s">
        <v>33</v>
      </c>
      <c r="B9" s="5">
        <f>COUNTIFS('Ticket Log'!C2:C31,A9)</f>
        <v>4</v>
      </c>
      <c r="C9" s="5">
        <f>COUNTIFS('Ticket Log'!C2:C31,A9,'Ticket Log'!E2:E31,"Y")</f>
        <v>1</v>
      </c>
      <c r="D9" s="6">
        <f t="shared" si="0"/>
        <v>0.25</v>
      </c>
    </row>
    <row r="10" spans="1:4" x14ac:dyDescent="0.2">
      <c r="A10" s="5" t="s">
        <v>36</v>
      </c>
      <c r="B10" s="5">
        <f>COUNTIFS('Ticket Log'!C2:C31,A10)</f>
        <v>4</v>
      </c>
      <c r="C10" s="5">
        <f>COUNTIFS('Ticket Log'!C2:C31,A10,'Ticket Log'!E2:E31,"Y")</f>
        <v>0</v>
      </c>
      <c r="D10" s="6">
        <f t="shared" si="0"/>
        <v>0</v>
      </c>
    </row>
    <row r="13" spans="1:4" x14ac:dyDescent="0.2">
      <c r="A13" s="4" t="s">
        <v>8</v>
      </c>
      <c r="B13" s="4" t="s">
        <v>113</v>
      </c>
    </row>
    <row r="14" spans="1:4" x14ac:dyDescent="0.2">
      <c r="A14" s="5" t="s">
        <v>41</v>
      </c>
      <c r="B14" s="5">
        <f>COUNTIF('Ticket Log'!F2:F31,A14)</f>
        <v>2</v>
      </c>
    </row>
    <row r="15" spans="1:4" x14ac:dyDescent="0.2">
      <c r="A15" s="5" t="s">
        <v>64</v>
      </c>
      <c r="B15" s="5">
        <f>COUNTIF('Ticket Log'!F2:F31,A15)</f>
        <v>1</v>
      </c>
    </row>
    <row r="16" spans="1:4" x14ac:dyDescent="0.2">
      <c r="A16" s="5" t="s">
        <v>16</v>
      </c>
      <c r="B16" s="5">
        <f>COUNTIF('Ticket Log'!F2:F31,A16)</f>
        <v>3</v>
      </c>
    </row>
    <row r="17" spans="1:4" x14ac:dyDescent="0.2">
      <c r="A17" s="5" t="s">
        <v>26</v>
      </c>
      <c r="B17" s="5">
        <f>COUNTIF('Ticket Log'!F2:F31,A17)</f>
        <v>3</v>
      </c>
    </row>
    <row r="18" spans="1:4" x14ac:dyDescent="0.2">
      <c r="A18" s="5" t="s">
        <v>50</v>
      </c>
      <c r="B18" s="5">
        <f>COUNTIF('Ticket Log'!F2:F31,A18)</f>
        <v>3</v>
      </c>
    </row>
    <row r="21" spans="1:4" x14ac:dyDescent="0.2">
      <c r="A21" s="7" t="s">
        <v>110</v>
      </c>
      <c r="B21" s="8">
        <f>COUNTA('Ticket Log'!A2:A31)</f>
        <v>30</v>
      </c>
    </row>
    <row r="22" spans="1:4" x14ac:dyDescent="0.2">
      <c r="A22" s="7" t="s">
        <v>114</v>
      </c>
      <c r="B22" s="8">
        <f>COUNTIF('Ticket Log'!E2:E31,"Y")</f>
        <v>12</v>
      </c>
    </row>
    <row r="23" spans="1:4" x14ac:dyDescent="0.2">
      <c r="A23" s="7" t="s">
        <v>115</v>
      </c>
      <c r="B23" s="9">
        <f>ROUND(B22/B21,3)</f>
        <v>0.4</v>
      </c>
    </row>
    <row r="24" spans="1:4" x14ac:dyDescent="0.2">
      <c r="A24" s="7" t="s">
        <v>116</v>
      </c>
      <c r="B24" s="8">
        <f>ROUND(AVERAGEIFS('Ticket Log'!G2:G31,'Ticket Log'!E2:E31,"Y"),2)</f>
        <v>1.98</v>
      </c>
    </row>
    <row r="25" spans="1:4" x14ac:dyDescent="0.2">
      <c r="A25" s="7" t="s">
        <v>117</v>
      </c>
      <c r="B25" s="8">
        <f>ROUND(AVERAGEIFS('Ticket Log'!G2:G31,'Ticket Log'!E2:E31,"N"),2)</f>
        <v>0.46</v>
      </c>
    </row>
    <row r="26" spans="1:4" x14ac:dyDescent="0.2">
      <c r="A26" s="7" t="s">
        <v>118</v>
      </c>
      <c r="B26" s="8" t="str">
        <f>INDEX(A5:A10,MATCH(MAX(D5:D10),D5:D10,0))</f>
        <v>Software</v>
      </c>
    </row>
    <row r="28" spans="1:4" ht="15" customHeight="1" x14ac:dyDescent="0.2">
      <c r="A28" s="12" t="s">
        <v>119</v>
      </c>
      <c r="B28" s="12"/>
      <c r="C28" s="12"/>
      <c r="D28" s="12"/>
    </row>
    <row r="29" spans="1:4" x14ac:dyDescent="0.2">
      <c r="A29" s="12"/>
      <c r="B29" s="12"/>
      <c r="C29" s="12"/>
      <c r="D29" s="12"/>
    </row>
    <row r="30" spans="1:4" x14ac:dyDescent="0.2">
      <c r="A30" s="12"/>
      <c r="B30" s="12"/>
      <c r="C30" s="12"/>
      <c r="D30" s="12"/>
    </row>
    <row r="31" spans="1:4" x14ac:dyDescent="0.2">
      <c r="A31" s="12"/>
      <c r="B31" s="12"/>
      <c r="C31" s="12"/>
      <c r="D31" s="12"/>
    </row>
  </sheetData>
  <mergeCells count="3">
    <mergeCell ref="A1:D1"/>
    <mergeCell ref="A2:D2"/>
    <mergeCell ref="A28:D31"/>
  </mergeCells>
  <conditionalFormatting sqref="D5:D10">
    <cfRule type="colorScale" priority="2">
      <colorScale>
        <cfvo type="min"/>
        <cfvo type="max"/>
        <color rgb="FFC6E8C6"/>
        <color rgb="FFF4C7C3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zoomScaleNormal="100" workbookViewId="0">
      <pane ySplit="1" topLeftCell="A16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14" customWidth="1"/>
    <col min="4" max="4" width="40" customWidth="1"/>
    <col min="5" max="5" width="13" customWidth="1"/>
    <col min="6" max="6" width="30" customWidth="1"/>
    <col min="7" max="7" width="12" customWidth="1"/>
    <col min="8" max="8" width="18" customWidth="1"/>
  </cols>
  <sheetData>
    <row r="1" spans="1:8" ht="25.5" customHeigh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31.5" customHeight="1" x14ac:dyDescent="0.2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>
        <v>3.5</v>
      </c>
      <c r="H2" s="2" t="s">
        <v>17</v>
      </c>
    </row>
    <row r="3" spans="1:8" ht="31.5" customHeight="1" x14ac:dyDescent="0.2">
      <c r="A3" s="2" t="s">
        <v>18</v>
      </c>
      <c r="B3" s="2" t="s">
        <v>12</v>
      </c>
      <c r="C3" s="2" t="s">
        <v>19</v>
      </c>
      <c r="D3" s="3" t="s">
        <v>20</v>
      </c>
      <c r="E3" s="2" t="s">
        <v>21</v>
      </c>
      <c r="F3" s="2"/>
      <c r="G3" s="2">
        <v>0.4</v>
      </c>
      <c r="H3" s="2" t="s">
        <v>22</v>
      </c>
    </row>
    <row r="4" spans="1:8" ht="31.5" customHeight="1" x14ac:dyDescent="0.2">
      <c r="A4" s="2" t="s">
        <v>23</v>
      </c>
      <c r="B4" s="2" t="s">
        <v>12</v>
      </c>
      <c r="C4" s="2" t="s">
        <v>24</v>
      </c>
      <c r="D4" s="3" t="s">
        <v>25</v>
      </c>
      <c r="E4" s="2" t="s">
        <v>15</v>
      </c>
      <c r="F4" s="2" t="s">
        <v>26</v>
      </c>
      <c r="G4" s="2">
        <v>2</v>
      </c>
      <c r="H4" s="2" t="s">
        <v>27</v>
      </c>
    </row>
    <row r="5" spans="1:8" ht="31.5" customHeight="1" x14ac:dyDescent="0.2">
      <c r="A5" s="2" t="s">
        <v>28</v>
      </c>
      <c r="B5" s="2" t="s">
        <v>29</v>
      </c>
      <c r="C5" s="2" t="s">
        <v>30</v>
      </c>
      <c r="D5" s="3" t="s">
        <v>31</v>
      </c>
      <c r="E5" s="2" t="s">
        <v>21</v>
      </c>
      <c r="F5" s="2"/>
      <c r="G5" s="2">
        <v>0.25</v>
      </c>
      <c r="H5" s="2" t="s">
        <v>22</v>
      </c>
    </row>
    <row r="6" spans="1:8" ht="31.5" customHeight="1" x14ac:dyDescent="0.2">
      <c r="A6" s="2" t="s">
        <v>32</v>
      </c>
      <c r="B6" s="2" t="s">
        <v>29</v>
      </c>
      <c r="C6" s="2" t="s">
        <v>33</v>
      </c>
      <c r="D6" s="3" t="s">
        <v>34</v>
      </c>
      <c r="E6" s="2" t="s">
        <v>21</v>
      </c>
      <c r="F6" s="2"/>
      <c r="G6" s="2">
        <v>0.6</v>
      </c>
      <c r="H6" s="2" t="s">
        <v>22</v>
      </c>
    </row>
    <row r="7" spans="1:8" ht="31.5" customHeight="1" x14ac:dyDescent="0.2">
      <c r="A7" s="2" t="s">
        <v>35</v>
      </c>
      <c r="B7" s="2" t="s">
        <v>29</v>
      </c>
      <c r="C7" s="2" t="s">
        <v>36</v>
      </c>
      <c r="D7" s="3" t="s">
        <v>37</v>
      </c>
      <c r="E7" s="2" t="s">
        <v>21</v>
      </c>
      <c r="F7" s="2"/>
      <c r="G7" s="2">
        <v>0.5</v>
      </c>
      <c r="H7" s="2" t="s">
        <v>22</v>
      </c>
    </row>
    <row r="8" spans="1:8" ht="31.5" customHeight="1" x14ac:dyDescent="0.2">
      <c r="A8" s="2" t="s">
        <v>38</v>
      </c>
      <c r="B8" s="2" t="s">
        <v>39</v>
      </c>
      <c r="C8" s="2" t="s">
        <v>30</v>
      </c>
      <c r="D8" s="3" t="s">
        <v>40</v>
      </c>
      <c r="E8" s="2" t="s">
        <v>15</v>
      </c>
      <c r="F8" s="2" t="s">
        <v>41</v>
      </c>
      <c r="G8" s="2">
        <v>1</v>
      </c>
      <c r="H8" s="2" t="s">
        <v>42</v>
      </c>
    </row>
    <row r="9" spans="1:8" ht="31.5" customHeight="1" x14ac:dyDescent="0.2">
      <c r="A9" s="2" t="s">
        <v>43</v>
      </c>
      <c r="B9" s="2" t="s">
        <v>39</v>
      </c>
      <c r="C9" s="2" t="s">
        <v>19</v>
      </c>
      <c r="D9" s="3" t="s">
        <v>44</v>
      </c>
      <c r="E9" s="2" t="s">
        <v>21</v>
      </c>
      <c r="F9" s="2"/>
      <c r="G9" s="2">
        <v>0.3</v>
      </c>
      <c r="H9" s="2" t="s">
        <v>22</v>
      </c>
    </row>
    <row r="10" spans="1:8" ht="31.5" customHeight="1" x14ac:dyDescent="0.2">
      <c r="A10" s="2" t="s">
        <v>45</v>
      </c>
      <c r="B10" s="2" t="s">
        <v>39</v>
      </c>
      <c r="C10" s="2" t="s">
        <v>13</v>
      </c>
      <c r="D10" s="3" t="s">
        <v>46</v>
      </c>
      <c r="E10" s="2" t="s">
        <v>21</v>
      </c>
      <c r="F10" s="2"/>
      <c r="G10" s="2">
        <v>0.5</v>
      </c>
      <c r="H10" s="2" t="s">
        <v>22</v>
      </c>
    </row>
    <row r="11" spans="1:8" ht="31.5" customHeight="1" x14ac:dyDescent="0.2">
      <c r="A11" s="2" t="s">
        <v>47</v>
      </c>
      <c r="B11" s="2" t="s">
        <v>48</v>
      </c>
      <c r="C11" s="2" t="s">
        <v>24</v>
      </c>
      <c r="D11" s="3" t="s">
        <v>49</v>
      </c>
      <c r="E11" s="2" t="s">
        <v>15</v>
      </c>
      <c r="F11" s="2" t="s">
        <v>50</v>
      </c>
      <c r="G11" s="2">
        <v>1.5</v>
      </c>
      <c r="H11" s="2" t="s">
        <v>27</v>
      </c>
    </row>
    <row r="12" spans="1:8" ht="31.5" customHeight="1" x14ac:dyDescent="0.2">
      <c r="A12" s="2" t="s">
        <v>51</v>
      </c>
      <c r="B12" s="2" t="s">
        <v>48</v>
      </c>
      <c r="C12" s="2" t="s">
        <v>19</v>
      </c>
      <c r="D12" s="3" t="s">
        <v>52</v>
      </c>
      <c r="E12" s="2" t="s">
        <v>21</v>
      </c>
      <c r="F12" s="2"/>
      <c r="G12" s="2">
        <v>0.4</v>
      </c>
      <c r="H12" s="2" t="s">
        <v>22</v>
      </c>
    </row>
    <row r="13" spans="1:8" ht="31.5" customHeight="1" x14ac:dyDescent="0.2">
      <c r="A13" s="2" t="s">
        <v>53</v>
      </c>
      <c r="B13" s="2" t="s">
        <v>54</v>
      </c>
      <c r="C13" s="2" t="s">
        <v>33</v>
      </c>
      <c r="D13" s="3" t="s">
        <v>55</v>
      </c>
      <c r="E13" s="2" t="s">
        <v>15</v>
      </c>
      <c r="F13" s="2" t="s">
        <v>26</v>
      </c>
      <c r="G13" s="2">
        <v>0.9</v>
      </c>
      <c r="H13" s="2" t="s">
        <v>56</v>
      </c>
    </row>
    <row r="14" spans="1:8" ht="31.5" customHeight="1" x14ac:dyDescent="0.2">
      <c r="A14" s="2" t="s">
        <v>57</v>
      </c>
      <c r="B14" s="2" t="s">
        <v>54</v>
      </c>
      <c r="C14" s="2" t="s">
        <v>36</v>
      </c>
      <c r="D14" s="3" t="s">
        <v>58</v>
      </c>
      <c r="E14" s="2" t="s">
        <v>21</v>
      </c>
      <c r="F14" s="2"/>
      <c r="G14" s="2">
        <v>0.7</v>
      </c>
      <c r="H14" s="2" t="s">
        <v>22</v>
      </c>
    </row>
    <row r="15" spans="1:8" ht="31.5" customHeight="1" x14ac:dyDescent="0.2">
      <c r="A15" s="2" t="s">
        <v>59</v>
      </c>
      <c r="B15" s="2" t="s">
        <v>60</v>
      </c>
      <c r="C15" s="2" t="s">
        <v>13</v>
      </c>
      <c r="D15" s="3" t="s">
        <v>61</v>
      </c>
      <c r="E15" s="2" t="s">
        <v>21</v>
      </c>
      <c r="F15" s="2"/>
      <c r="G15" s="2">
        <v>0.6</v>
      </c>
      <c r="H15" s="2" t="s">
        <v>22</v>
      </c>
    </row>
    <row r="16" spans="1:8" ht="31.5" customHeight="1" x14ac:dyDescent="0.2">
      <c r="A16" s="2" t="s">
        <v>62</v>
      </c>
      <c r="B16" s="2" t="s">
        <v>60</v>
      </c>
      <c r="C16" s="2" t="s">
        <v>19</v>
      </c>
      <c r="D16" s="3" t="s">
        <v>63</v>
      </c>
      <c r="E16" s="2" t="s">
        <v>15</v>
      </c>
      <c r="F16" s="2" t="s">
        <v>64</v>
      </c>
      <c r="G16" s="2">
        <v>4</v>
      </c>
      <c r="H16" s="2" t="s">
        <v>65</v>
      </c>
    </row>
    <row r="17" spans="1:8" ht="31.5" customHeight="1" x14ac:dyDescent="0.2">
      <c r="A17" s="2" t="s">
        <v>66</v>
      </c>
      <c r="B17" s="2" t="s">
        <v>67</v>
      </c>
      <c r="C17" s="2" t="s">
        <v>30</v>
      </c>
      <c r="D17" s="3" t="s">
        <v>68</v>
      </c>
      <c r="E17" s="2" t="s">
        <v>21</v>
      </c>
      <c r="F17" s="2"/>
      <c r="G17" s="2">
        <v>0.5</v>
      </c>
      <c r="H17" s="2" t="s">
        <v>22</v>
      </c>
    </row>
    <row r="18" spans="1:8" ht="31.5" customHeight="1" x14ac:dyDescent="0.2">
      <c r="A18" s="2" t="s">
        <v>69</v>
      </c>
      <c r="B18" s="2" t="s">
        <v>67</v>
      </c>
      <c r="C18" s="2" t="s">
        <v>24</v>
      </c>
      <c r="D18" s="3" t="s">
        <v>70</v>
      </c>
      <c r="E18" s="2" t="s">
        <v>15</v>
      </c>
      <c r="F18" s="2" t="s">
        <v>26</v>
      </c>
      <c r="G18" s="2">
        <v>1.3</v>
      </c>
      <c r="H18" s="2" t="s">
        <v>71</v>
      </c>
    </row>
    <row r="19" spans="1:8" ht="31.5" customHeight="1" x14ac:dyDescent="0.2">
      <c r="A19" s="2" t="s">
        <v>72</v>
      </c>
      <c r="B19" s="2" t="s">
        <v>73</v>
      </c>
      <c r="C19" s="2" t="s">
        <v>36</v>
      </c>
      <c r="D19" s="3" t="s">
        <v>74</v>
      </c>
      <c r="E19" s="2" t="s">
        <v>21</v>
      </c>
      <c r="F19" s="2"/>
      <c r="G19" s="2">
        <v>0.4</v>
      </c>
      <c r="H19" s="2" t="s">
        <v>22</v>
      </c>
    </row>
    <row r="20" spans="1:8" ht="31.5" customHeight="1" x14ac:dyDescent="0.2">
      <c r="A20" s="2" t="s">
        <v>75</v>
      </c>
      <c r="B20" s="2" t="s">
        <v>73</v>
      </c>
      <c r="C20" s="2" t="s">
        <v>13</v>
      </c>
      <c r="D20" s="3" t="s">
        <v>76</v>
      </c>
      <c r="E20" s="2" t="s">
        <v>15</v>
      </c>
      <c r="F20" s="2" t="s">
        <v>50</v>
      </c>
      <c r="G20" s="2">
        <v>3</v>
      </c>
      <c r="H20" s="2" t="s">
        <v>77</v>
      </c>
    </row>
    <row r="21" spans="1:8" ht="31.5" customHeight="1" x14ac:dyDescent="0.2">
      <c r="A21" s="2" t="s">
        <v>78</v>
      </c>
      <c r="B21" s="2" t="s">
        <v>79</v>
      </c>
      <c r="C21" s="2" t="s">
        <v>33</v>
      </c>
      <c r="D21" s="3" t="s">
        <v>80</v>
      </c>
      <c r="E21" s="2" t="s">
        <v>21</v>
      </c>
      <c r="F21" s="2"/>
      <c r="G21" s="2">
        <v>0.5</v>
      </c>
      <c r="H21" s="2" t="s">
        <v>22</v>
      </c>
    </row>
    <row r="22" spans="1:8" ht="31.5" customHeight="1" x14ac:dyDescent="0.2">
      <c r="A22" s="2" t="s">
        <v>81</v>
      </c>
      <c r="B22" s="2" t="s">
        <v>79</v>
      </c>
      <c r="C22" s="2" t="s">
        <v>19</v>
      </c>
      <c r="D22" s="3" t="s">
        <v>82</v>
      </c>
      <c r="E22" s="2" t="s">
        <v>21</v>
      </c>
      <c r="F22" s="2"/>
      <c r="G22" s="2">
        <v>0.35</v>
      </c>
      <c r="H22" s="2" t="s">
        <v>22</v>
      </c>
    </row>
    <row r="23" spans="1:8" ht="31.5" customHeight="1" x14ac:dyDescent="0.2">
      <c r="A23" s="2" t="s">
        <v>83</v>
      </c>
      <c r="B23" s="2" t="s">
        <v>84</v>
      </c>
      <c r="C23" s="2" t="s">
        <v>24</v>
      </c>
      <c r="D23" s="3" t="s">
        <v>85</v>
      </c>
      <c r="E23" s="2" t="s">
        <v>15</v>
      </c>
      <c r="F23" s="2" t="s">
        <v>16</v>
      </c>
      <c r="G23" s="2">
        <v>2.5</v>
      </c>
      <c r="H23" s="2" t="s">
        <v>86</v>
      </c>
    </row>
    <row r="24" spans="1:8" ht="31.5" customHeight="1" x14ac:dyDescent="0.2">
      <c r="A24" s="2" t="s">
        <v>87</v>
      </c>
      <c r="B24" s="2" t="s">
        <v>84</v>
      </c>
      <c r="C24" s="2" t="s">
        <v>30</v>
      </c>
      <c r="D24" s="3" t="s">
        <v>88</v>
      </c>
      <c r="E24" s="2" t="s">
        <v>15</v>
      </c>
      <c r="F24" s="2" t="s">
        <v>41</v>
      </c>
      <c r="G24" s="2">
        <v>0.5</v>
      </c>
      <c r="H24" s="2" t="s">
        <v>42</v>
      </c>
    </row>
    <row r="25" spans="1:8" ht="31.5" customHeight="1" x14ac:dyDescent="0.2">
      <c r="A25" s="2" t="s">
        <v>89</v>
      </c>
      <c r="B25" s="2" t="s">
        <v>90</v>
      </c>
      <c r="C25" s="2" t="s">
        <v>36</v>
      </c>
      <c r="D25" s="3" t="s">
        <v>91</v>
      </c>
      <c r="E25" s="2" t="s">
        <v>21</v>
      </c>
      <c r="F25" s="2"/>
      <c r="G25" s="2">
        <v>0.3</v>
      </c>
      <c r="H25" s="2" t="s">
        <v>22</v>
      </c>
    </row>
    <row r="26" spans="1:8" ht="31.5" customHeight="1" x14ac:dyDescent="0.2">
      <c r="A26" s="2" t="s">
        <v>92</v>
      </c>
      <c r="B26" s="2" t="s">
        <v>90</v>
      </c>
      <c r="C26" s="2" t="s">
        <v>13</v>
      </c>
      <c r="D26" s="3" t="s">
        <v>93</v>
      </c>
      <c r="E26" s="2" t="s">
        <v>21</v>
      </c>
      <c r="F26" s="2"/>
      <c r="G26" s="2">
        <v>0.4</v>
      </c>
      <c r="H26" s="2" t="s">
        <v>22</v>
      </c>
    </row>
    <row r="27" spans="1:8" ht="31.5" customHeight="1" x14ac:dyDescent="0.2">
      <c r="A27" s="2" t="s">
        <v>94</v>
      </c>
      <c r="B27" s="2" t="s">
        <v>95</v>
      </c>
      <c r="C27" s="2" t="s">
        <v>19</v>
      </c>
      <c r="D27" s="3" t="s">
        <v>96</v>
      </c>
      <c r="E27" s="2" t="s">
        <v>21</v>
      </c>
      <c r="F27" s="2"/>
      <c r="G27" s="2">
        <v>0.3</v>
      </c>
      <c r="H27" s="2" t="s">
        <v>22</v>
      </c>
    </row>
    <row r="28" spans="1:8" ht="31.5" customHeight="1" x14ac:dyDescent="0.2">
      <c r="A28" s="2" t="s">
        <v>97</v>
      </c>
      <c r="B28" s="2" t="s">
        <v>95</v>
      </c>
      <c r="C28" s="2" t="s">
        <v>24</v>
      </c>
      <c r="D28" s="3" t="s">
        <v>98</v>
      </c>
      <c r="E28" s="2" t="s">
        <v>21</v>
      </c>
      <c r="F28" s="2"/>
      <c r="G28" s="2">
        <v>0.8</v>
      </c>
      <c r="H28" s="2" t="s">
        <v>22</v>
      </c>
    </row>
    <row r="29" spans="1:8" ht="31.5" customHeight="1" x14ac:dyDescent="0.2">
      <c r="A29" s="2" t="s">
        <v>99</v>
      </c>
      <c r="B29" s="2" t="s">
        <v>100</v>
      </c>
      <c r="C29" s="2" t="s">
        <v>30</v>
      </c>
      <c r="D29" s="3" t="s">
        <v>101</v>
      </c>
      <c r="E29" s="2" t="s">
        <v>15</v>
      </c>
      <c r="F29" s="2" t="s">
        <v>50</v>
      </c>
      <c r="G29" s="2">
        <v>0.6</v>
      </c>
      <c r="H29" s="2" t="s">
        <v>42</v>
      </c>
    </row>
    <row r="30" spans="1:8" ht="31.5" customHeight="1" x14ac:dyDescent="0.2">
      <c r="A30" s="2" t="s">
        <v>102</v>
      </c>
      <c r="B30" s="2" t="s">
        <v>100</v>
      </c>
      <c r="C30" s="2" t="s">
        <v>33</v>
      </c>
      <c r="D30" s="3" t="s">
        <v>103</v>
      </c>
      <c r="E30" s="2" t="s">
        <v>21</v>
      </c>
      <c r="F30" s="2"/>
      <c r="G30" s="2">
        <v>0.5</v>
      </c>
      <c r="H30" s="2" t="s">
        <v>22</v>
      </c>
    </row>
    <row r="31" spans="1:8" ht="31.5" customHeight="1" x14ac:dyDescent="0.2">
      <c r="A31" s="2" t="s">
        <v>104</v>
      </c>
      <c r="B31" s="2" t="s">
        <v>105</v>
      </c>
      <c r="C31" s="2" t="s">
        <v>24</v>
      </c>
      <c r="D31" s="3" t="s">
        <v>106</v>
      </c>
      <c r="E31" s="2" t="s">
        <v>15</v>
      </c>
      <c r="F31" s="2" t="s">
        <v>16</v>
      </c>
      <c r="G31" s="2">
        <v>3</v>
      </c>
      <c r="H31" s="2" t="s">
        <v>107</v>
      </c>
    </row>
  </sheetData>
  <conditionalFormatting sqref="E2:E31">
    <cfRule type="cellIs" dxfId="0" priority="2" operator="equal">
      <formula>"Y"</formula>
    </cfRule>
  </conditionalFormatting>
  <conditionalFormatting sqref="G2:G31">
    <cfRule type="dataBar" priority="3">
      <dataBar>
        <cfvo type="min"/>
        <cfvo type="max"/>
        <color rgb="FF6FA8DC"/>
      </dataBar>
      <extLst>
        <ext xmlns:x14="http://schemas.microsoft.com/office/spreadsheetml/2009/9/main" uri="{B025F937-C7B1-47D3-B67F-A62EFF666E3E}">
          <x14:id>{642084EF-779F-4CAD-A718-C022ACE9C265}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2084EF-779F-4CAD-A718-C022ACE9C265}">
            <x14:dataBar axisPosition="none">
              <x14:cfvo type="min"/>
              <x14:cfvo type="max"/>
              <x14:negativeFillColor rgb="FF6FA8DC"/>
            </x14:dataBar>
          </x14:cfRule>
          <xm:sqref>G2:G31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Escalation Analysis</vt:lpstr>
      <vt:lpstr>Ticket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Karma Gurung</cp:lastModifiedBy>
  <cp:revision>1</cp:revision>
  <dcterms:created xsi:type="dcterms:W3CDTF">2026-08-27T21:11:06Z</dcterms:created>
  <dcterms:modified xsi:type="dcterms:W3CDTF">2026-08-28T02:44:10Z</dcterms:modified>
  <dc:language>en-US</dc:language>
</cp:coreProperties>
</file>