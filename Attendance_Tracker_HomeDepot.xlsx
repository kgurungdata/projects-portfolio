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 Tracker" sheetId="1" state="visible" r:id="rId3"/>
    <sheet name="List1" sheetId="2" state="visible" r:id="rId4"/>
    <sheet name="List2" sheetId="3" state="visible" r:id="rId5"/>
    <sheet name="List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<sst xmlns="http://schemas.openxmlformats.org/spreadsheetml/2006/main" count="303" uniqueCount="58">
  <si>
    <t xml:space="preserve">Name</t>
  </si>
  <si>
    <t xml:space="preserve">Month</t>
  </si>
  <si>
    <t xml:space="preserve">Contact</t>
  </si>
  <si>
    <t xml:space="preserve">Group/Department</t>
  </si>
  <si>
    <t xml:space="preserve">Total days present</t>
  </si>
  <si>
    <t xml:space="preserve">Actual days present</t>
  </si>
  <si>
    <t xml:space="preserve">Attendance percentage</t>
  </si>
  <si>
    <t xml:space="preserve">Attendance requirement met</t>
  </si>
  <si>
    <t xml:space="preserve">Avg Attendance %</t>
  </si>
  <si>
    <t xml:space="preserve">Maria Chen</t>
  </si>
  <si>
    <t xml:space="preserve">2026-06-01</t>
  </si>
  <si>
    <t xml:space="preserve">Front End</t>
  </si>
  <si>
    <t xml:space="preserve">Devon Walker</t>
  </si>
  <si>
    <t xml:space="preserve">Freight/Receiving</t>
  </si>
  <si>
    <t xml:space="preserve">Priya Natarajan</t>
  </si>
  <si>
    <t xml:space="preserve">Pro Desk</t>
  </si>
  <si>
    <t xml:space="preserve">Jake Sullivan</t>
  </si>
  <si>
    <t xml:space="preserve">Merchandising</t>
  </si>
  <si>
    <t xml:space="preserve">Aisha Thompson</t>
  </si>
  <si>
    <t xml:space="preserve">Customer Service</t>
  </si>
  <si>
    <t xml:space="preserve">Marcus Lee</t>
  </si>
  <si>
    <t xml:space="preserve">Grace Kim</t>
  </si>
  <si>
    <t xml:space="preserve">Tyler Brooks</t>
  </si>
  <si>
    <t xml:space="preserve">Highest attendance rate (individual):</t>
  </si>
  <si>
    <t xml:space="preserve">Renee Foster</t>
  </si>
  <si>
    <t xml:space="preserve"># individuals who attended only 1 day:</t>
  </si>
  <si>
    <t xml:space="preserve">Omar Haddad</t>
  </si>
  <si>
    <t xml:space="preserve">% of individuals who met requirement:</t>
  </si>
  <si>
    <t xml:space="preserve">Lindsey Park</t>
  </si>
  <si>
    <t xml:space="preserve">Carlos Rivera</t>
  </si>
  <si>
    <t xml:space="preserve">maria.chen@homedepotmail.com</t>
  </si>
  <si>
    <t xml:space="preserve">devon.walker@homedepotmail.com</t>
  </si>
  <si>
    <t xml:space="preserve">priya.natarajan@homedepotmail.com</t>
  </si>
  <si>
    <t xml:space="preserve">jake.sullivan@homedepotmail.com</t>
  </si>
  <si>
    <t xml:space="preserve">aisha.thompson@homedepotmail.com</t>
  </si>
  <si>
    <t xml:space="preserve">marcus.lee@homedepotmail.com</t>
  </si>
  <si>
    <t xml:space="preserve">grace.kim@homedepotmail.com</t>
  </si>
  <si>
    <t xml:space="preserve">tyler.brooks@homedepotmail.com</t>
  </si>
  <si>
    <t xml:space="preserve">renee.foster@homedepotmail.com</t>
  </si>
  <si>
    <t xml:space="preserve">omar.haddad@homedepotmail.com</t>
  </si>
  <si>
    <t xml:space="preserve">lindsey.park@homedepotmail.com</t>
  </si>
  <si>
    <t xml:space="preserve">carlos.rivera@homedepotmail.com</t>
  </si>
  <si>
    <t xml:space="preserve">Note: rows 13-14 are intentional duplicates of rows 2 and 4, included so the duplicate-highlight step (via Copilot or COUNTIF) has something real to catch. Delete the duplicate rows before pasting names into the Attendance Tracker sheet.</t>
  </si>
  <si>
    <t xml:space="preserve">Attendance Requirement Legend</t>
  </si>
  <si>
    <t xml:space="preserve">Minimum Attendance Required</t>
  </si>
  <si>
    <t xml:space="preserve">&gt;= 80%</t>
  </si>
  <si>
    <t xml:space="preserve">&gt;= 40%</t>
  </si>
  <si>
    <t xml:space="preserve">Date</t>
  </si>
  <si>
    <t xml:space="preserve">Attended</t>
  </si>
  <si>
    <t xml:space="preserve">Attendance status</t>
  </si>
  <si>
    <t xml:space="preserve">Day</t>
  </si>
  <si>
    <t xml:space="preserve"># Present</t>
  </si>
  <si>
    <t xml:space="preserve">Yes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</si>
  <si>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</si>
  <si>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</si>
  <si>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</si>
  <si>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</si>
  <si>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No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</si>
</sst>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-yyyy"/>
    <numFmt numFmtId="166" formatCode="General"/>
    <numFmt numFmtId="167" formatCode="0.0%"/>
    <numFmt numFmtId="168" formatCode="mmm\-dd\-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2222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DA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port Header" xfId="20"/>
  </cellStyles>
  <dxfs count="21">
    <dxf>
      <fill>
        <patternFill patternType="solid">
          <fgColor rgb="FFC6DA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BEE3F8"/>
          <bgColor rgb="FF000000"/>
        </patternFill>
      </fill>
    </dxf>
    <dxf>
      <fill>
        <patternFill patternType="solid">
          <fgColor rgb="FFC6F6D5"/>
          <bgColor rgb="FF000000"/>
        </patternFill>
      </fill>
    </dxf>
    <dxf>
      <fill>
        <patternFill patternType="solid">
          <fgColor rgb="FFD6BCFA"/>
          <bgColor rgb="FF000000"/>
        </patternFill>
      </fill>
    </dxf>
    <dxf>
      <fill>
        <patternFill patternType="solid">
          <fgColor rgb="FFFBD5A5"/>
          <bgColor rgb="FF000000"/>
        </patternFill>
      </fill>
    </dxf>
    <dxf>
      <fill>
        <patternFill patternType="solid">
          <fgColor rgb="FFFED7D7"/>
          <bgColor rgb="FF000000"/>
        </patternFill>
      </fill>
    </dxf>
    <dxf>
      <fill>
        <patternFill patternType="solid">
          <fgColor rgb="FFC6E8C6"/>
          <bgColor rgb="FF000000"/>
        </patternFill>
      </fill>
    </dxf>
    <dxf>
      <fill>
        <patternFill patternType="solid">
          <fgColor rgb="FFD2DFC5"/>
          <bgColor rgb="FF000000"/>
        </patternFill>
      </fill>
    </dxf>
    <dxf>
      <fill>
        <patternFill patternType="solid">
          <fgColor rgb="FFDED7C4"/>
          <bgColor rgb="FF000000"/>
        </patternFill>
      </fill>
    </dxf>
    <dxf>
      <fill>
        <patternFill patternType="solid">
          <fgColor rgb="FFE9CFC3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>
          <bgColor rgb="FFBEE3F8"/>
        </patternFill>
      </fill>
    </dxf>
    <dxf>
      <fill>
        <patternFill>
          <bgColor rgb="FFFBD5A5"/>
        </patternFill>
      </fill>
    </dxf>
    <dxf>
      <fill>
        <patternFill>
          <bgColor rgb="FFD6BCFA"/>
        </patternFill>
      </fill>
    </dxf>
    <dxf>
      <fill>
        <patternFill>
          <bgColor rgb="FFC6F6D5"/>
        </patternFill>
      </fill>
    </dxf>
    <dxf>
      <fill>
        <patternFill>
          <bgColor rgb="FFFED7D7"/>
        </patternFill>
      </fill>
    </dxf>
    <dxf>
      <fill>
        <patternFill>
          <bgColor rgb="FFFFF3B0"/>
        </patternFill>
      </fill>
    </dxf>
    <dxf>
      <fill>
        <patternFill>
          <bgColor rgb="FFC6E8C6"/>
        </patternFill>
      </fill>
    </dxf>
    <dxf>
      <fill>
        <patternFill>
          <bgColor rgb="FFF4C7C3"/>
        </patternFill>
      </fill>
    </dxf>
  </dxfs>
  <colors>
    <indexedColors>
      <rgbColor rgb="FF000000"/>
      <rgbColor rgb="FFD9D9D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ADA"/>
      <rgbColor rgb="FF878787"/>
      <rgbColor rgb="FF9999FF"/>
      <rgbColor rgb="FF993366"/>
      <rgbColor rgb="FFFED7D7"/>
      <rgbColor rgb="FFBEE3F8"/>
      <rgbColor rgb="FF660066"/>
      <rgbColor rgb="FFFF8080"/>
      <rgbColor rgb="FF0066CC"/>
      <rgbColor rgb="FFD6BC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8C6"/>
      <rgbColor rgb="FFC6F6D5"/>
      <rgbColor rgb="FFFFF3B0"/>
      <rgbColor rgb="FF99CCFF"/>
      <rgbColor rgb="FFF4C7C3"/>
      <rgbColor rgb="FFCC99FF"/>
      <rgbColor rgb="FFFBD5A5"/>
      <rgbColor rgb="FF4F81BD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Attendance % by Group/Department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'Attendance Tracker'!K1</c:f>
              <c:strCache>
                <c:ptCount val="1"/>
                <c:pt idx="0">
                  <c:v>Avg Attendance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'Attendance Tracker'!$J$2:$J$6</c:f>
              <c:strCache>
                <c:ptCount val="5"/>
                <c:pt idx="0">
                  <c:v>Front End</c:v>
                </c:pt>
                <c:pt idx="1">
                  <c:v>Freight/Receiving</c:v>
                </c:pt>
                <c:pt idx="2">
                  <c:v>Pro Desk</c:v>
                </c:pt>
                <c:pt idx="3">
                  <c:v>Merchandising</c:v>
                </c:pt>
                <c:pt idx="4">
                  <c:v>Customer Service</c:v>
                </c:pt>
              </c:strCache>
            </c:strRef>
          </c:cat>
          <c:val>
            <c:numRef>
              <c:f>'Attendance Tracker'!$K$2:$K$6</c:f>
              <c:numCache>
                <c:formatCode>0.0%</c:formatCode>
                <c:ptCount val="5"/>
                <c:pt idx="0">
                  <c:v>0.8</c:v>
                </c:pt>
                <c:pt idx="1">
                  <c:v>0.9</c:v>
                </c:pt>
                <c:pt idx="2">
                  <c:v>0.9</c:v>
                </c:pt>
                <c:pt idx="3">
                  <c:v>0.2667</c:v>
                </c:pt>
                <c:pt idx="4">
                  <c:v>0.4</c:v>
                </c:pt>
              </c:numCache>
            </c:numRef>
          </c:val>
        </c:ser>
        <c:gapWidth val="150"/>
        <c:overlap val="0"/>
        <c:axId val="87903026"/>
        <c:axId val="61474238"/>
      </c:barChart>
      <c:catAx>
        <c:axId val="879030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Group/Department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74238"/>
        <c:crosses val="autoZero"/>
        <c:auto val="1"/>
        <c:lblAlgn val="ctr"/>
        <c:lblOffset val="100"/>
        <c:noMultiLvlLbl val="0"/>
      </c:catAx>
      <c:valAx>
        <c:axId val="61474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03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Attendance by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List3!G1</c:f>
              <c:strCache>
                <c:ptCount val="1"/>
                <c:pt idx="0">
                  <c:v># Present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List3!$F$2:$F$6</c:f>
              <c:strCache>
                <c:ptCount val="5"/>
                <c:pt idx="0">
                  <c:v>2026-06-01</c:v>
                </c:pt>
                <c:pt idx="1">
                  <c:v>2026-06-02</c:v>
                </c:pt>
                <c:pt idx="2">
                  <c:v>2026-06-03</c:v>
                </c:pt>
                <c:pt idx="3">
                  <c:v>2026-06-04</c:v>
                </c:pt>
                <c:pt idx="4">
                  <c:v>2026-06-05</c:v>
                </c:pt>
              </c:strCache>
            </c:strRef>
          </c:cat>
          <c:val>
            <c:numRef>
              <c:f>List3!$G$2:$G$6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gapWidth val="150"/>
        <c:overlap val="0"/>
        <c:axId val="64624472"/>
        <c:axId val="72482006"/>
      </c:barChart>
      <c:catAx>
        <c:axId val="646244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82006"/>
        <c:crosses val="autoZero"/>
        <c:auto val="1"/>
        <c:lblAlgn val="ctr"/>
        <c:lblOffset val="100"/>
        <c:noMultiLvlLbl val="0"/>
      </c:catAx>
      <c:valAx>
        <c:axId val="724820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Present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244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7</xdr:row>
      <xdr:rowOff>69480</xdr:rowOff>
    </xdr:from>
    <xdr:to>
      <xdr:col>15</xdr:col>
      <xdr:colOff>56160</xdr:colOff>
      <xdr:row>20</xdr:row>
      <xdr:rowOff>112680</xdr:rowOff>
    </xdr:to>
    <xdr:graphicFrame>
      <xdr:nvGraphicFramePr>
        <xdr:cNvPr id="0" name="Chart 1"/>
        <xdr:cNvGraphicFramePr/>
      </xdr:nvGraphicFramePr>
      <xdr:xfrm>
        <a:off x="10643400" y="1714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16</xdr:col>
      <xdr:colOff>147600</xdr:colOff>
      <xdr:row>12</xdr:row>
      <xdr:rowOff>83160</xdr:rowOff>
    </xdr:to>
    <xdr:graphicFrame>
      <xdr:nvGraphicFramePr>
        <xdr:cNvPr id="1" name="Chart 1"/>
        <xdr:cNvGraphicFramePr/>
      </xdr:nvGraphicFramePr>
      <xdr:xfrm>
        <a:off x="7025760" y="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ttendanceTracker" displayName="AttendanceTracker" ref="A1:H13" headerRowCount="1" totalsRowCount="0" totalsRowShown="0">
  <autoFilter ref="A1:H13"/>
  <tableColumns count="8">
    <tableColumn id="1" name="Name"/>
    <tableColumn id="2" name="Month"/>
    <tableColumn id="3" name="Contact"/>
    <tableColumn id="4" name="Group/Department"/>
    <tableColumn id="5" name="Total days present"/>
    <tableColumn id="6" name="Actual days present"/>
    <tableColumn id="7" name="Attendance percentage"/>
    <tableColumn id="8" name="Attendance requirement me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3"/>
    <col collapsed="false" customWidth="true" hidden="false" outlineLevel="0" max="10" min="10" style="0" width="20"/>
    <col collapsed="false" customWidth="true" hidden="false" outlineLevel="0" max="11" min="11" style="0" width="16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3</v>
      </c>
      <c r="K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2" t="str">
        <f aca="false">INDEX(List1!$B:$B,MATCH(A2,List1!$A:$A,0))</f>
        <v>maria.chen@homedepotmail.com</v>
      </c>
      <c r="D2" s="2" t="str">
        <f aca="false">INDEX(List2!$B:$B,MATCH(A2,List2!$A:$A,0))</f>
        <v>Front End</v>
      </c>
      <c r="E2" s="2" t="n">
        <f aca="false">DATE(2026,6,5)-DATE(2026,6,1)+1</f>
        <v>5</v>
      </c>
      <c r="F2" s="4" t="n">
        <f aca="false">COUNTIFS(List3!$A:$A,A2,List3!$C:$C,"Yes")</f>
        <v>5</v>
      </c>
      <c r="G2" s="5" t="n">
        <f aca="false">ROUND(F2/E2,4)</f>
        <v>1</v>
      </c>
      <c r="H2" s="2" t="str">
        <f aca="false">IF(OR(D2="Front End",D2="Pro Desk",D2="Freight/Receiving"),IF(G2&gt;=0.8,"Met","Not Met"),IF(G2&gt;=0.4,"Met","Not Met"))</f>
        <v>Met</v>
      </c>
      <c r="J2" s="2" t="s">
        <v>11</v>
      </c>
      <c r="K2" s="5" t="n">
        <f aca="false">ROUND(AVERAGEIFS($G$2:$G$13,$D$2:$D$13,J2),4)</f>
        <v>0.8</v>
      </c>
    </row>
    <row r="3" customFormat="false" ht="15" hidden="false" customHeight="false" outlineLevel="0" collapsed="false">
      <c r="A3" s="2" t="s">
        <v>12</v>
      </c>
      <c r="B3" s="3" t="s">
        <v>10</v>
      </c>
      <c r="C3" s="2" t="str">
        <f aca="false">INDEX(List1!$B:$B,MATCH(A3,List1!$A:$A,0))</f>
        <v>devon.walker@homedepotmail.com</v>
      </c>
      <c r="D3" s="2" t="str">
        <f aca="false">INDEX(List2!$B:$B,MATCH(A3,List2!$A:$A,0))</f>
        <v>Freight/Receiving</v>
      </c>
      <c r="E3" s="2" t="n">
        <f aca="false">DATE(2026,6,5)-DATE(2026,6,1)+1</f>
        <v>5</v>
      </c>
      <c r="F3" s="4" t="n">
        <f aca="false">COUNTIFS(List3!$A:$A,A3,List3!$C:$C,"Yes")</f>
        <v>4</v>
      </c>
      <c r="G3" s="5" t="n">
        <f aca="false">ROUND(F3/E3,4)</f>
        <v>0.8</v>
      </c>
      <c r="H3" s="2" t="str">
        <f aca="false">IF(OR(D3="Front End",D3="Pro Desk",D3="Freight/Receiving"),IF(G3&gt;=0.8,"Met","Not Met"),IF(G3&gt;=0.4,"Met","Not Met"))</f>
        <v>Met</v>
      </c>
      <c r="J3" s="2" t="s">
        <v>13</v>
      </c>
      <c r="K3" s="5" t="n">
        <f aca="false">ROUND(AVERAGEIFS($G$2:$G$13,$D$2:$D$13,J3),4)</f>
        <v>0.9</v>
      </c>
    </row>
    <row r="4" customFormat="false" ht="15" hidden="false" customHeight="false" outlineLevel="0" collapsed="false">
      <c r="A4" s="2" t="s">
        <v>14</v>
      </c>
      <c r="B4" s="3" t="s">
        <v>10</v>
      </c>
      <c r="C4" s="2" t="str">
        <f aca="false">INDEX(List1!$B:$B,MATCH(A4,List1!$A:$A,0))</f>
        <v>priya.natarajan@homedepotmail.com</v>
      </c>
      <c r="D4" s="2" t="str">
        <f aca="false">INDEX(List2!$B:$B,MATCH(A4,List2!$A:$A,0))</f>
        <v>Pro Desk</v>
      </c>
      <c r="E4" s="2" t="n">
        <f aca="false">DATE(2026,6,5)-DATE(2026,6,1)+1</f>
        <v>5</v>
      </c>
      <c r="F4" s="4" t="n">
        <f aca="false">COUNTIFS(List3!$A:$A,A4,List3!$C:$C,"Yes")</f>
        <v>5</v>
      </c>
      <c r="G4" s="5" t="n">
        <f aca="false">ROUND(F4/E4,4)</f>
        <v>1</v>
      </c>
      <c r="H4" s="2" t="str">
        <f aca="false">IF(OR(D4="Front End",D4="Pro Desk",D4="Freight/Receiving"),IF(G4&gt;=0.8,"Met","Not Met"),IF(G4&gt;=0.4,"Met","Not Met"))</f>
        <v>Met</v>
      </c>
      <c r="J4" s="2" t="s">
        <v>15</v>
      </c>
      <c r="K4" s="5" t="n">
        <f aca="false">ROUND(AVERAGEIFS($G$2:$G$13,$D$2:$D$13,J4),4)</f>
        <v>0.9</v>
      </c>
    </row>
    <row r="5" customFormat="false" ht="15" hidden="false" customHeight="false" outlineLevel="0" collapsed="false">
      <c r="A5" s="2" t="s">
        <v>16</v>
      </c>
      <c r="B5" s="3" t="s">
        <v>10</v>
      </c>
      <c r="C5" s="2" t="str">
        <f aca="false">INDEX(List1!$B:$B,MATCH(A5,List1!$A:$A,0))</f>
        <v>jake.sullivan@homedepotmail.com</v>
      </c>
      <c r="D5" s="2" t="str">
        <f aca="false">INDEX(List2!$B:$B,MATCH(A5,List2!$A:$A,0))</f>
        <v>Front End</v>
      </c>
      <c r="E5" s="2" t="n">
        <f aca="false">DATE(2026,6,5)-DATE(2026,6,1)+1</f>
        <v>5</v>
      </c>
      <c r="F5" s="4" t="n">
        <f aca="false">COUNTIFS(List3!$A:$A,A5,List3!$C:$C,"Yes")</f>
        <v>3</v>
      </c>
      <c r="G5" s="5" t="n">
        <f aca="false">ROUND(F5/E5,4)</f>
        <v>0.6</v>
      </c>
      <c r="H5" s="2" t="str">
        <f aca="false">IF(OR(D5="Front End",D5="Pro Desk",D5="Freight/Receiving"),IF(G5&gt;=0.8,"Met","Not Met"),IF(G5&gt;=0.4,"Met","Not Met"))</f>
        <v>Not Met</v>
      </c>
      <c r="J5" s="2" t="s">
        <v>17</v>
      </c>
      <c r="K5" s="5" t="n">
        <f aca="false">ROUND(AVERAGEIFS($G$2:$G$13,$D$2:$D$13,J5),4)</f>
        <v>0.2667</v>
      </c>
    </row>
    <row r="6" customFormat="false" ht="15" hidden="false" customHeight="false" outlineLevel="0" collapsed="false">
      <c r="A6" s="2" t="s">
        <v>18</v>
      </c>
      <c r="B6" s="3" t="s">
        <v>10</v>
      </c>
      <c r="C6" s="2" t="str">
        <f aca="false">INDEX(List1!$B:$B,MATCH(A6,List1!$A:$A,0))</f>
        <v>aisha.thompson@homedepotmail.com</v>
      </c>
      <c r="D6" s="2" t="str">
        <f aca="false">INDEX(List2!$B:$B,MATCH(A6,List2!$A:$A,0))</f>
        <v>Merchandising</v>
      </c>
      <c r="E6" s="2" t="n">
        <f aca="false">DATE(2026,6,5)-DATE(2026,6,1)+1</f>
        <v>5</v>
      </c>
      <c r="F6" s="4" t="n">
        <f aca="false">COUNTIFS(List3!$A:$A,A6,List3!$C:$C,"Yes")</f>
        <v>2</v>
      </c>
      <c r="G6" s="5" t="n">
        <f aca="false">ROUND(F6/E6,4)</f>
        <v>0.4</v>
      </c>
      <c r="H6" s="2" t="str">
        <f aca="false">IF(OR(D6="Front End",D6="Pro Desk",D6="Freight/Receiving"),IF(G6&gt;=0.8,"Met","Not Met"),IF(G6&gt;=0.4,"Met","Not Met"))</f>
        <v>Met</v>
      </c>
      <c r="J6" s="2" t="s">
        <v>19</v>
      </c>
      <c r="K6" s="5" t="n">
        <f aca="false">ROUND(AVERAGEIFS($G$2:$G$13,$D$2:$D$13,J6),4)</f>
        <v>0.4</v>
      </c>
    </row>
    <row r="7" customFormat="false" ht="15" hidden="false" customHeight="false" outlineLevel="0" collapsed="false">
      <c r="A7" s="2" t="s">
        <v>20</v>
      </c>
      <c r="B7" s="3" t="s">
        <v>10</v>
      </c>
      <c r="C7" s="2" t="str">
        <f aca="false">INDEX(List1!$B:$B,MATCH(A7,List1!$A:$A,0))</f>
        <v>marcus.lee@homedepotmail.com</v>
      </c>
      <c r="D7" s="2" t="str">
        <f aca="false">INDEX(List2!$B:$B,MATCH(A7,List2!$A:$A,0))</f>
        <v>Customer Service</v>
      </c>
      <c r="E7" s="2" t="n">
        <f aca="false">DATE(2026,6,5)-DATE(2026,6,1)+1</f>
        <v>5</v>
      </c>
      <c r="F7" s="4" t="n">
        <f aca="false">COUNTIFS(List3!$A:$A,A7,List3!$C:$C,"Yes")</f>
        <v>1</v>
      </c>
      <c r="G7" s="5" t="n">
        <f aca="false">ROUND(F7/E7,4)</f>
        <v>0.2</v>
      </c>
      <c r="H7" s="2" t="str">
        <f aca="false">IF(OR(D7="Front End",D7="Pro Desk",D7="Freight/Receiving"),IF(G7&gt;=0.8,"Met","Not Met"),IF(G7&gt;=0.4,"Met","Not Met"))</f>
        <v>Not Met</v>
      </c>
    </row>
    <row r="8" customFormat="false" ht="15" hidden="false" customHeight="false" outlineLevel="0" collapsed="false">
      <c r="A8" s="2" t="s">
        <v>21</v>
      </c>
      <c r="B8" s="3" t="s">
        <v>10</v>
      </c>
      <c r="C8" s="2" t="str">
        <f aca="false">INDEX(List1!$B:$B,MATCH(A8,List1!$A:$A,0))</f>
        <v>grace.kim@homedepotmail.com</v>
      </c>
      <c r="D8" s="2" t="str">
        <f aca="false">INDEX(List2!$B:$B,MATCH(A8,List2!$A:$A,0))</f>
        <v>Pro Desk</v>
      </c>
      <c r="E8" s="2" t="n">
        <f aca="false">DATE(2026,6,5)-DATE(2026,6,1)+1</f>
        <v>5</v>
      </c>
      <c r="F8" s="4" t="n">
        <f aca="false">COUNTIFS(List3!$A:$A,A8,List3!$C:$C,"Yes")</f>
        <v>4</v>
      </c>
      <c r="G8" s="5" t="n">
        <f aca="false">ROUND(F8/E8,4)</f>
        <v>0.8</v>
      </c>
      <c r="H8" s="2" t="str">
        <f aca="false">IF(OR(D8="Front End",D8="Pro Desk",D8="Freight/Receiving"),IF(G8&gt;=0.8,"Met","Not Met"),IF(G8&gt;=0.4,"Met","Not Met"))</f>
        <v>Met</v>
      </c>
    </row>
    <row r="9" customFormat="false" ht="15" hidden="false" customHeight="false" outlineLevel="0" collapsed="false">
      <c r="A9" s="2" t="s">
        <v>22</v>
      </c>
      <c r="B9" s="3" t="s">
        <v>10</v>
      </c>
      <c r="C9" s="2" t="str">
        <f aca="false">INDEX(List1!$B:$B,MATCH(A9,List1!$A:$A,0))</f>
        <v>tyler.brooks@homedepotmail.com</v>
      </c>
      <c r="D9" s="2" t="str">
        <f aca="false">INDEX(List2!$B:$B,MATCH(A9,List2!$A:$A,0))</f>
        <v>Freight/Receiving</v>
      </c>
      <c r="E9" s="2" t="n">
        <f aca="false">DATE(2026,6,5)-DATE(2026,6,1)+1</f>
        <v>5</v>
      </c>
      <c r="F9" s="4" t="n">
        <f aca="false">COUNTIFS(List3!$A:$A,A9,List3!$C:$C,"Yes")</f>
        <v>5</v>
      </c>
      <c r="G9" s="5" t="n">
        <f aca="false">ROUND(F9/E9,4)</f>
        <v>1</v>
      </c>
      <c r="H9" s="2" t="str">
        <f aca="false">IF(OR(D9="Front End",D9="Pro Desk",D9="Freight/Receiving"),IF(G9&gt;=0.8,"Met","Not Met"),IF(G9&gt;=0.4,"Met","Not Met"))</f>
        <v>Met</v>
      </c>
      <c r="J9" s="6" t="s">
        <v>23</v>
      </c>
      <c r="K9" s="2" t="str">
        <f aca="false">INDEX($A$2:$A$13,MATCH(MAX($G$2:$G$13),$G$2:$G$13,0))</f>
        <v>Maria Chen</v>
      </c>
    </row>
    <row r="10" customFormat="false" ht="15" hidden="false" customHeight="false" outlineLevel="0" collapsed="false">
      <c r="A10" s="2" t="s">
        <v>24</v>
      </c>
      <c r="B10" s="3" t="s">
        <v>10</v>
      </c>
      <c r="C10" s="2" t="str">
        <f aca="false">INDEX(List1!$B:$B,MATCH(A10,List1!$A:$A,0))</f>
        <v>renee.foster@homedepotmail.com</v>
      </c>
      <c r="D10" s="2" t="str">
        <f aca="false">INDEX(List2!$B:$B,MATCH(A10,List2!$A:$A,0))</f>
        <v>Merchandising</v>
      </c>
      <c r="E10" s="2" t="n">
        <f aca="false">DATE(2026,6,5)-DATE(2026,6,1)+1</f>
        <v>5</v>
      </c>
      <c r="F10" s="4" t="n">
        <f aca="false">COUNTIFS(List3!$A:$A,A10,List3!$C:$C,"Yes")</f>
        <v>1</v>
      </c>
      <c r="G10" s="5" t="n">
        <f aca="false">ROUND(F10/E10,4)</f>
        <v>0.2</v>
      </c>
      <c r="H10" s="2" t="str">
        <f aca="false">IF(OR(D10="Front End",D10="Pro Desk",D10="Freight/Receiving"),IF(G10&gt;=0.8,"Met","Not Met"),IF(G10&gt;=0.4,"Met","Not Met"))</f>
        <v>Not Met</v>
      </c>
      <c r="J10" s="6" t="s">
        <v>25</v>
      </c>
      <c r="K10" s="2" t="n">
        <f aca="false">COUNTIF($F$2:$F$13,1)</f>
        <v>3</v>
      </c>
    </row>
    <row r="11" customFormat="false" ht="15" hidden="false" customHeight="false" outlineLevel="0" collapsed="false">
      <c r="A11" s="2" t="s">
        <v>26</v>
      </c>
      <c r="B11" s="3" t="s">
        <v>10</v>
      </c>
      <c r="C11" s="2" t="str">
        <f aca="false">INDEX(List1!$B:$B,MATCH(A11,List1!$A:$A,0))</f>
        <v>omar.haddad@homedepotmail.com</v>
      </c>
      <c r="D11" s="2" t="str">
        <f aca="false">INDEX(List2!$B:$B,MATCH(A11,List2!$A:$A,0))</f>
        <v>Front End</v>
      </c>
      <c r="E11" s="2" t="n">
        <f aca="false">DATE(2026,6,5)-DATE(2026,6,1)+1</f>
        <v>5</v>
      </c>
      <c r="F11" s="4" t="n">
        <f aca="false">COUNTIFS(List3!$A:$A,A11,List3!$C:$C,"Yes")</f>
        <v>4</v>
      </c>
      <c r="G11" s="5" t="n">
        <f aca="false">ROUND(F11/E11,4)</f>
        <v>0.8</v>
      </c>
      <c r="H11" s="2" t="str">
        <f aca="false">IF(OR(D11="Front End",D11="Pro Desk",D11="Freight/Receiving"),IF(G11&gt;=0.8,"Met","Not Met"),IF(G11&gt;=0.4,"Met","Not Met"))</f>
        <v>Met</v>
      </c>
      <c r="J11" s="6" t="s">
        <v>27</v>
      </c>
      <c r="K11" s="5" t="n">
        <f aca="false">ROUND(COUNTIF($H$2:$H$13,"Met")/COUNTA($H$2:$H$13),4)</f>
        <v>0.6667</v>
      </c>
    </row>
    <row r="12" customFormat="false" ht="15" hidden="false" customHeight="false" outlineLevel="0" collapsed="false">
      <c r="A12" s="2" t="s">
        <v>28</v>
      </c>
      <c r="B12" s="3" t="s">
        <v>10</v>
      </c>
      <c r="C12" s="2" t="str">
        <f aca="false">INDEX(List1!$B:$B,MATCH(A12,List1!$A:$A,0))</f>
        <v>lindsey.park@homedepotmail.com</v>
      </c>
      <c r="D12" s="2" t="str">
        <f aca="false">INDEX(List2!$B:$B,MATCH(A12,List2!$A:$A,0))</f>
        <v>Merchandising</v>
      </c>
      <c r="E12" s="2" t="n">
        <f aca="false">DATE(2026,6,5)-DATE(2026,6,1)+1</f>
        <v>5</v>
      </c>
      <c r="F12" s="4" t="n">
        <f aca="false">COUNTIFS(List3!$A:$A,A12,List3!$C:$C,"Yes")</f>
        <v>1</v>
      </c>
      <c r="G12" s="5" t="n">
        <f aca="false">ROUND(F12/E12,4)</f>
        <v>0.2</v>
      </c>
      <c r="H12" s="2" t="str">
        <f aca="false">IF(OR(D12="Front End",D12="Pro Desk",D12="Freight/Receiving"),IF(G12&gt;=0.8,"Met","Not Met"),IF(G12&gt;=0.4,"Met","Not Met"))</f>
        <v>Not Met</v>
      </c>
    </row>
    <row r="13" customFormat="false" ht="15" hidden="false" customHeight="false" outlineLevel="0" collapsed="false">
      <c r="A13" s="2" t="s">
        <v>29</v>
      </c>
      <c r="B13" s="3" t="s">
        <v>10</v>
      </c>
      <c r="C13" s="2" t="str">
        <f aca="false">INDEX(List1!$B:$B,MATCH(A13,List1!$A:$A,0))</f>
        <v>carlos.rivera@homedepotmail.com</v>
      </c>
      <c r="D13" s="2" t="str">
        <f aca="false">INDEX(List2!$B:$B,MATCH(A13,List2!$A:$A,0))</f>
        <v>Customer Service</v>
      </c>
      <c r="E13" s="2" t="n">
        <f aca="false">DATE(2026,6,5)-DATE(2026,6,1)+1</f>
        <v>5</v>
      </c>
      <c r="F13" s="4" t="n">
        <f aca="false">COUNTIFS(List3!$A:$A,A13,List3!$C:$C,"Yes")</f>
        <v>3</v>
      </c>
      <c r="G13" s="5" t="n">
        <f aca="false">ROUND(F13/E13,4)</f>
        <v>0.6</v>
      </c>
      <c r="H13" s="2" t="str">
        <f aca="false">IF(OR(D13="Front End",D13="Pro Desk",D13="Freight/Receiving"),IF(G13&gt;=0.8,"Met","Not Met"),IF(G13&gt;=0.4,"Met","Not Met"))</f>
        <v>Met</v>
      </c>
    </row>
  </sheetData>
  <conditionalFormatting sqref="D2:D13">
    <cfRule type="expression" priority="2" aboveAverage="0" equalAverage="0" bottom="0" percent="0" rank="0" text="" dxfId="13">
      <formula>$D2="Front End"</formula>
    </cfRule>
    <cfRule type="expression" priority="3" aboveAverage="0" equalAverage="0" bottom="0" percent="0" rank="0" text="" dxfId="14">
      <formula>$D2="Freight/Receiving"</formula>
    </cfRule>
    <cfRule type="expression" priority="4" aboveAverage="0" equalAverage="0" bottom="0" percent="0" rank="0" text="" dxfId="15">
      <formula>$D2="Pro Desk"</formula>
    </cfRule>
    <cfRule type="expression" priority="5" aboveAverage="0" equalAverage="0" bottom="0" percent="0" rank="0" text="" dxfId="16">
      <formula>$D2="Merchandising"</formula>
    </cfRule>
    <cfRule type="expression" priority="6" aboveAverage="0" equalAverage="0" bottom="0" percent="0" rank="0" text="" dxfId="17">
      <formula>$D2="Customer Service"</formula>
    </cfRule>
  </conditionalFormatting>
  <conditionalFormatting sqref="F2:F13">
    <cfRule type="dataBar" priority="7">
      <dataBar showValue="1" minLength="10" maxLength="90">
        <cfvo type="min" val="0"/>
        <cfvo type="max" val="0"/>
        <color rgb="FF6FA8DC"/>
      </dataBar>
      <extLst>
        <ext xmlns:x14="http://schemas.microsoft.com/office/spreadsheetml/2009/9/main" uri="{B025F937-C7B1-47D3-B67F-A62EFF666E3E}">
          <x14:id>{40D0296B-E946-415A-B010-B6F5D47F20C1}</x14:id>
        </ext>
      </extLst>
    </cfRule>
  </conditionalFormatting>
  <conditionalFormatting sqref="G2:G13">
    <cfRule type="colorScale" priority="8">
      <colorScale>
        <cfvo type="min" val="0"/>
        <cfvo type="max" val="0"/>
        <color rgb="FFF4C7C3"/>
        <color rgb="FFC6E8C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D0296B-E946-415A-B010-B6F5D47F20C1}">
            <x14:dataBar minLength="10" maxLength="90" axisPosition="none" gradient="true">
              <x14:cfvo type="min"/>
              <x14:cfvo type="max"/>
              <x14:negativeFillColor rgb="FF6FA8DC"/>
              <x14:axisColor rgb="FF000000"/>
            </x14:dataBar>
          </x14:cfRule>
          <xm:sqref>F2:F13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</cols>
  <sheetData>
    <row r="1" customFormat="false" ht="15" hidden="false" customHeight="false" outlineLevel="0" collapsed="false">
      <c r="A1" s="1" t="s">
        <v>0</v>
      </c>
      <c r="B1" s="1" t="s">
        <v>2</v>
      </c>
    </row>
    <row r="2" customFormat="false" ht="15" hidden="false" customHeight="false" outlineLevel="0" collapsed="false">
      <c r="A2" s="2" t="s">
        <v>9</v>
      </c>
      <c r="B2" s="2" t="s">
        <v>30</v>
      </c>
    </row>
    <row r="3" customFormat="false" ht="15" hidden="false" customHeight="false" outlineLevel="0" collapsed="false">
      <c r="A3" s="2" t="s">
        <v>12</v>
      </c>
      <c r="B3" s="2" t="s">
        <v>31</v>
      </c>
    </row>
    <row r="4" customFormat="false" ht="15" hidden="false" customHeight="false" outlineLevel="0" collapsed="false">
      <c r="A4" s="2" t="s">
        <v>14</v>
      </c>
      <c r="B4" s="2" t="s">
        <v>32</v>
      </c>
    </row>
    <row r="5" customFormat="false" ht="15" hidden="false" customHeight="false" outlineLevel="0" collapsed="false">
      <c r="A5" s="2" t="s">
        <v>16</v>
      </c>
      <c r="B5" s="2" t="s">
        <v>33</v>
      </c>
    </row>
    <row r="6" customFormat="false" ht="15" hidden="false" customHeight="false" outlineLevel="0" collapsed="false">
      <c r="A6" s="2" t="s">
        <v>18</v>
      </c>
      <c r="B6" s="2" t="s">
        <v>34</v>
      </c>
    </row>
    <row r="7" customFormat="false" ht="15" hidden="false" customHeight="false" outlineLevel="0" collapsed="false">
      <c r="A7" s="2" t="s">
        <v>20</v>
      </c>
      <c r="B7" s="2" t="s">
        <v>35</v>
      </c>
    </row>
    <row r="8" customFormat="false" ht="15" hidden="false" customHeight="false" outlineLevel="0" collapsed="false">
      <c r="A8" s="2" t="s">
        <v>21</v>
      </c>
      <c r="B8" s="2" t="s">
        <v>36</v>
      </c>
    </row>
    <row r="9" customFormat="false" ht="15" hidden="false" customHeight="false" outlineLevel="0" collapsed="false">
      <c r="A9" s="2" t="s">
        <v>22</v>
      </c>
      <c r="B9" s="2" t="s">
        <v>37</v>
      </c>
    </row>
    <row r="10" customFormat="false" ht="15" hidden="false" customHeight="false" outlineLevel="0" collapsed="false">
      <c r="A10" s="2" t="s">
        <v>24</v>
      </c>
      <c r="B10" s="2" t="s">
        <v>38</v>
      </c>
    </row>
    <row r="11" customFormat="false" ht="15" hidden="false" customHeight="false" outlineLevel="0" collapsed="false">
      <c r="A11" s="2" t="s">
        <v>26</v>
      </c>
      <c r="B11" s="2" t="s">
        <v>39</v>
      </c>
    </row>
    <row r="12" customFormat="false" ht="15" hidden="false" customHeight="false" outlineLevel="0" collapsed="false">
      <c r="A12" s="2" t="s">
        <v>28</v>
      </c>
      <c r="B12" s="2" t="s">
        <v>40</v>
      </c>
    </row>
    <row r="13" customFormat="false" ht="15" hidden="false" customHeight="false" outlineLevel="0" collapsed="false">
      <c r="A13" s="2" t="s">
        <v>29</v>
      </c>
      <c r="B13" s="2" t="s">
        <v>41</v>
      </c>
    </row>
    <row r="14" customFormat="false" ht="15" hidden="false" customHeight="false" outlineLevel="0" collapsed="false">
      <c r="A14" s="2" t="s">
        <v>9</v>
      </c>
      <c r="B14" s="2" t="s">
        <v>30</v>
      </c>
    </row>
    <row r="15" customFormat="false" ht="15" hidden="false" customHeight="false" outlineLevel="0" collapsed="false">
      <c r="A15" s="2" t="s">
        <v>16</v>
      </c>
      <c r="B15" s="2" t="s">
        <v>33</v>
      </c>
    </row>
    <row r="17" customFormat="false" ht="15" hidden="false" customHeight="false" outlineLevel="0" collapsed="false">
      <c r="A17" s="7" t="s">
        <v>42</v>
      </c>
      <c r="B17" s="7"/>
    </row>
  </sheetData>
  <mergeCells count="1">
    <mergeCell ref="A17:B17"/>
  </mergeCells>
  <conditionalFormatting sqref="A2:A15">
    <cfRule type="expression" priority="2" aboveAverage="0" equalAverage="0" bottom="0" percent="0" rank="0" text="" dxfId="18">
      <formula>COUNTIF($A$2:$A$15,A2)&gt;1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" t="s">
        <v>0</v>
      </c>
      <c r="B1" s="1" t="s">
        <v>3</v>
      </c>
    </row>
    <row r="2" customFormat="false" ht="15" hidden="false" customHeight="false" outlineLevel="0" collapsed="false">
      <c r="A2" s="2" t="s">
        <v>9</v>
      </c>
      <c r="B2" s="2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</row>
    <row r="4" customFormat="false" ht="15" hidden="false" customHeight="false" outlineLevel="0" collapsed="false">
      <c r="A4" s="2" t="s">
        <v>14</v>
      </c>
      <c r="B4" s="2" t="s">
        <v>15</v>
      </c>
    </row>
    <row r="5" customFormat="false" ht="15" hidden="false" customHeight="false" outlineLevel="0" collapsed="false">
      <c r="A5" s="2" t="s">
        <v>16</v>
      </c>
      <c r="B5" s="2" t="s">
        <v>11</v>
      </c>
    </row>
    <row r="6" customFormat="false" ht="15" hidden="false" customHeight="false" outlineLevel="0" collapsed="false">
      <c r="A6" s="2" t="s">
        <v>18</v>
      </c>
      <c r="B6" s="2" t="s">
        <v>17</v>
      </c>
    </row>
    <row r="7" customFormat="false" ht="15" hidden="false" customHeight="false" outlineLevel="0" collapsed="false">
      <c r="A7" s="2" t="s">
        <v>20</v>
      </c>
      <c r="B7" s="2" t="s">
        <v>19</v>
      </c>
    </row>
    <row r="8" customFormat="false" ht="15" hidden="false" customHeight="false" outlineLevel="0" collapsed="false">
      <c r="A8" s="2" t="s">
        <v>21</v>
      </c>
      <c r="B8" s="2" t="s">
        <v>15</v>
      </c>
    </row>
    <row r="9" customFormat="false" ht="15" hidden="false" customHeight="false" outlineLevel="0" collapsed="false">
      <c r="A9" s="2" t="s">
        <v>22</v>
      </c>
      <c r="B9" s="2" t="s">
        <v>13</v>
      </c>
    </row>
    <row r="10" customFormat="false" ht="15" hidden="false" customHeight="false" outlineLevel="0" collapsed="false">
      <c r="A10" s="2" t="s">
        <v>24</v>
      </c>
      <c r="B10" s="2" t="s">
        <v>17</v>
      </c>
    </row>
    <row r="11" customFormat="false" ht="15" hidden="false" customHeight="false" outlineLevel="0" collapsed="false">
      <c r="A11" s="2" t="s">
        <v>26</v>
      </c>
      <c r="B11" s="2" t="s">
        <v>11</v>
      </c>
    </row>
    <row r="12" customFormat="false" ht="15" hidden="false" customHeight="false" outlineLevel="0" collapsed="false">
      <c r="A12" s="2" t="s">
        <v>28</v>
      </c>
      <c r="B12" s="2" t="s">
        <v>17</v>
      </c>
    </row>
    <row r="13" customFormat="false" ht="15" hidden="false" customHeight="false" outlineLevel="0" collapsed="false">
      <c r="A13" s="2" t="s">
        <v>29</v>
      </c>
      <c r="B13" s="2" t="s">
        <v>19</v>
      </c>
    </row>
    <row r="15" customFormat="false" ht="15" hidden="false" customHeight="false" outlineLevel="0" collapsed="false">
      <c r="A15" s="8" t="s">
        <v>43</v>
      </c>
    </row>
    <row r="16" customFormat="false" ht="15" hidden="false" customHeight="false" outlineLevel="0" collapsed="false">
      <c r="A16" s="6" t="s">
        <v>3</v>
      </c>
      <c r="B16" s="6" t="s">
        <v>44</v>
      </c>
    </row>
    <row r="17" customFormat="false" ht="15" hidden="false" customHeight="false" outlineLevel="0" collapsed="false">
      <c r="A17" s="2" t="s">
        <v>11</v>
      </c>
      <c r="B17" s="2" t="s">
        <v>45</v>
      </c>
    </row>
    <row r="18" customFormat="false" ht="15" hidden="false" customHeight="false" outlineLevel="0" collapsed="false">
      <c r="A18" s="2" t="s">
        <v>15</v>
      </c>
      <c r="B18" s="2" t="s">
        <v>45</v>
      </c>
    </row>
    <row r="19" customFormat="false" ht="15" hidden="false" customHeight="false" outlineLevel="0" collapsed="false">
      <c r="A19" s="2" t="s">
        <v>13</v>
      </c>
      <c r="B19" s="2" t="s">
        <v>45</v>
      </c>
    </row>
    <row r="20" customFormat="false" ht="15" hidden="false" customHeight="false" outlineLevel="0" collapsed="false">
      <c r="A20" s="2" t="s">
        <v>17</v>
      </c>
      <c r="B20" s="2" t="s">
        <v>46</v>
      </c>
    </row>
    <row r="21" customFormat="false" ht="15" hidden="false" customHeight="false" outlineLevel="0" collapsed="false">
      <c r="A21" s="2" t="s">
        <v>19</v>
      </c>
      <c r="B21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6.85" hidden="false" customHeight="false" outlineLevel="0" collapsed="false">
      <c r="A1" s="1" t="s">
        <v>0</v>
      </c>
      <c r="B1" s="1" t="s">
        <v>47</v>
      </c>
      <c r="C1" s="1" t="s">
        <v>48</v>
      </c>
      <c r="D1" s="1" t="s">
        <v>49</v>
      </c>
      <c r="F1" s="1" t="s">
        <v>50</v>
      </c>
      <c r="G1" s="1" t="s">
        <v>51</v>
      </c>
    </row>
    <row r="2" customFormat="false" ht="15" hidden="false" customHeight="false" outlineLevel="0" collapsed="false">
      <c r="A2" s="2" t="s">
        <v>9</v>
      </c>
      <c r="B2" s="9" t="s">
        <v>10</v>
      </c>
      <c r="C2" s="2" t="s">
        <v>52</v>
      </c>
      <c r="D2" s="2" t="str">
        <f aca="false">IF(C2="Yes","Present","Absent")</f>
        <v>Present</v>
      </c>
      <c r="F2" s="9" t="s">
        <v>10</v>
      </c>
      <c r="G2" s="2" t="n">
        <f aca="false">COUNTIFS($B$2:$B$61,F2,$C$2:$C$61,"Yes")</f>
        <v>10</v>
      </c>
    </row>
    <row r="3" customFormat="false" ht="15" hidden="false" customHeight="false" outlineLevel="0" collapsed="false">
      <c r="A3" s="2" t="s">
        <v>9</v>
      </c>
      <c r="B3" s="9" t="s">
        <v>53</v>
      </c>
      <c r="C3" s="2" t="s">
        <v>52</v>
      </c>
      <c r="D3" s="2" t="str">
        <f aca="false">IF(C3="Yes","Present","Absent")</f>
        <v>Present</v>
      </c>
      <c r="F3" s="9" t="s">
        <v>53</v>
      </c>
      <c r="G3" s="2" t="n">
        <f aca="false">COUNTIFS($B$2:$B$61,F3,$C$2:$C$61,"Yes")</f>
        <v>8</v>
      </c>
    </row>
    <row r="4" customFormat="false" ht="15" hidden="false" customHeight="false" outlineLevel="0" collapsed="false">
      <c r="A4" s="2" t="s">
        <v>9</v>
      </c>
      <c r="B4" s="9" t="s">
        <v>54</v>
      </c>
      <c r="C4" s="2" t="s">
        <v>52</v>
      </c>
      <c r="D4" s="2" t="str">
        <f aca="false">IF(C4="Yes","Present","Absent")</f>
        <v>Present</v>
      </c>
      <c r="F4" s="9" t="s">
        <v>54</v>
      </c>
      <c r="G4" s="2" t="n">
        <f aca="false">COUNTIFS($B$2:$B$61,F4,$C$2:$C$61,"Yes")</f>
        <v>8</v>
      </c>
    </row>
    <row r="5" customFormat="false" ht="15" hidden="false" customHeight="false" outlineLevel="0" collapsed="false">
      <c r="A5" s="2" t="s">
        <v>9</v>
      </c>
      <c r="B5" s="9" t="s">
        <v>55</v>
      </c>
      <c r="C5" s="2" t="s">
        <v>52</v>
      </c>
      <c r="D5" s="2" t="str">
        <f aca="false">IF(C5="Yes","Present","Absent")</f>
        <v>Present</v>
      </c>
      <c r="F5" s="9" t="s">
        <v>55</v>
      </c>
      <c r="G5" s="2" t="n">
        <f aca="false">COUNTIFS($B$2:$B$61,F5,$C$2:$C$61,"Yes")</f>
        <v>6</v>
      </c>
    </row>
    <row r="6" customFormat="false" ht="15" hidden="false" customHeight="false" outlineLevel="0" collapsed="false">
      <c r="A6" s="2" t="s">
        <v>9</v>
      </c>
      <c r="B6" s="9" t="s">
        <v>56</v>
      </c>
      <c r="C6" s="2" t="s">
        <v>52</v>
      </c>
      <c r="D6" s="2" t="str">
        <f aca="false">IF(C6="Yes","Present","Absent")</f>
        <v>Present</v>
      </c>
      <c r="F6" s="9" t="s">
        <v>56</v>
      </c>
      <c r="G6" s="2" t="n">
        <f aca="false">COUNTIFS($B$2:$B$61,F6,$C$2:$C$61,"Yes")</f>
        <v>6</v>
      </c>
    </row>
    <row r="7" customFormat="false" ht="15" hidden="false" customHeight="false" outlineLevel="0" collapsed="false">
      <c r="A7" s="2" t="s">
        <v>12</v>
      </c>
      <c r="B7" s="9" t="s">
        <v>10</v>
      </c>
      <c r="C7" s="2" t="s">
        <v>52</v>
      </c>
      <c r="D7" s="2" t="str">
        <f aca="false">IF(C7="Yes","Present","Absent")</f>
        <v>Present</v>
      </c>
    </row>
    <row r="8" customFormat="false" ht="15" hidden="false" customHeight="false" outlineLevel="0" collapsed="false">
      <c r="A8" s="2" t="s">
        <v>12</v>
      </c>
      <c r="B8" s="9" t="s">
        <v>53</v>
      </c>
      <c r="C8" s="2" t="s">
        <v>52</v>
      </c>
      <c r="D8" s="2" t="str">
        <f aca="false">IF(C8="Yes","Present","Absent")</f>
        <v>Present</v>
      </c>
    </row>
    <row r="9" customFormat="false" ht="15" hidden="false" customHeight="false" outlineLevel="0" collapsed="false">
      <c r="A9" s="2" t="s">
        <v>12</v>
      </c>
      <c r="B9" s="9" t="s">
        <v>54</v>
      </c>
      <c r="C9" s="2" t="s">
        <v>52</v>
      </c>
      <c r="D9" s="2" t="str">
        <f aca="false">IF(C9="Yes","Present","Absent")</f>
        <v>Present</v>
      </c>
    </row>
    <row r="10" customFormat="false" ht="15" hidden="false" customHeight="false" outlineLevel="0" collapsed="false">
      <c r="A10" s="2" t="s">
        <v>12</v>
      </c>
      <c r="B10" s="9" t="s">
        <v>55</v>
      </c>
      <c r="C10" s="2" t="s">
        <v>52</v>
      </c>
      <c r="D10" s="2" t="str">
        <f aca="false">IF(C10="Yes","Present","Absent")</f>
        <v>Present</v>
      </c>
    </row>
    <row r="11" customFormat="false" ht="15" hidden="false" customHeight="false" outlineLevel="0" collapsed="false">
      <c r="A11" s="2" t="s">
        <v>12</v>
      </c>
      <c r="B11" s="9" t="s">
        <v>56</v>
      </c>
      <c r="C11" s="2" t="s">
        <v>57</v>
      </c>
      <c r="D11" s="2" t="str">
        <f aca="false">IF(C11="Yes","Present","Absent")</f>
        <v>Absent</v>
      </c>
    </row>
    <row r="12" customFormat="false" ht="15" hidden="false" customHeight="false" outlineLevel="0" collapsed="false">
      <c r="A12" s="2" t="s">
        <v>14</v>
      </c>
      <c r="B12" s="9" t="s">
        <v>10</v>
      </c>
      <c r="C12" s="2" t="s">
        <v>52</v>
      </c>
      <c r="D12" s="2" t="str">
        <f aca="false">IF(C12="Yes","Present","Absent")</f>
        <v>Present</v>
      </c>
    </row>
    <row r="13" customFormat="false" ht="15" hidden="false" customHeight="false" outlineLevel="0" collapsed="false">
      <c r="A13" s="2" t="s">
        <v>14</v>
      </c>
      <c r="B13" s="9" t="s">
        <v>53</v>
      </c>
      <c r="C13" s="2" t="s">
        <v>52</v>
      </c>
      <c r="D13" s="2" t="str">
        <f aca="false">IF(C13="Yes","Present","Absent")</f>
        <v>Present</v>
      </c>
    </row>
    <row r="14" customFormat="false" ht="15" hidden="false" customHeight="false" outlineLevel="0" collapsed="false">
      <c r="A14" s="2" t="s">
        <v>14</v>
      </c>
      <c r="B14" s="9" t="s">
        <v>54</v>
      </c>
      <c r="C14" s="2" t="s">
        <v>52</v>
      </c>
      <c r="D14" s="2" t="str">
        <f aca="false">IF(C14="Yes","Present","Absent")</f>
        <v>Present</v>
      </c>
    </row>
    <row r="15" customFormat="false" ht="15" hidden="false" customHeight="false" outlineLevel="0" collapsed="false">
      <c r="A15" s="2" t="s">
        <v>14</v>
      </c>
      <c r="B15" s="9" t="s">
        <v>55</v>
      </c>
      <c r="C15" s="2" t="s">
        <v>52</v>
      </c>
      <c r="D15" s="2" t="str">
        <f aca="false">IF(C15="Yes","Present","Absent")</f>
        <v>Present</v>
      </c>
    </row>
    <row r="16" customFormat="false" ht="15" hidden="false" customHeight="false" outlineLevel="0" collapsed="false">
      <c r="A16" s="2" t="s">
        <v>14</v>
      </c>
      <c r="B16" s="9" t="s">
        <v>56</v>
      </c>
      <c r="C16" s="2" t="s">
        <v>52</v>
      </c>
      <c r="D16" s="2" t="str">
        <f aca="false">IF(C16="Yes","Present","Absent")</f>
        <v>Present</v>
      </c>
    </row>
    <row r="17" customFormat="false" ht="15" hidden="false" customHeight="false" outlineLevel="0" collapsed="false">
      <c r="A17" s="2" t="s">
        <v>16</v>
      </c>
      <c r="B17" s="9" t="s">
        <v>10</v>
      </c>
      <c r="C17" s="2" t="s">
        <v>52</v>
      </c>
      <c r="D17" s="2" t="str">
        <f aca="false">IF(C17="Yes","Present","Absent")</f>
        <v>Present</v>
      </c>
    </row>
    <row r="18" customFormat="false" ht="15" hidden="false" customHeight="false" outlineLevel="0" collapsed="false">
      <c r="A18" s="2" t="s">
        <v>16</v>
      </c>
      <c r="B18" s="9" t="s">
        <v>53</v>
      </c>
      <c r="C18" s="2" t="s">
        <v>57</v>
      </c>
      <c r="D18" s="2" t="str">
        <f aca="false">IF(C18="Yes","Present","Absent")</f>
        <v>Absent</v>
      </c>
    </row>
    <row r="19" customFormat="false" ht="15" hidden="false" customHeight="false" outlineLevel="0" collapsed="false">
      <c r="A19" s="2" t="s">
        <v>16</v>
      </c>
      <c r="B19" s="9" t="s">
        <v>54</v>
      </c>
      <c r="C19" s="2" t="s">
        <v>52</v>
      </c>
      <c r="D19" s="2" t="str">
        <f aca="false">IF(C19="Yes","Present","Absent")</f>
        <v>Present</v>
      </c>
    </row>
    <row r="20" customFormat="false" ht="15" hidden="false" customHeight="false" outlineLevel="0" collapsed="false">
      <c r="A20" s="2" t="s">
        <v>16</v>
      </c>
      <c r="B20" s="9" t="s">
        <v>55</v>
      </c>
      <c r="C20" s="2" t="s">
        <v>52</v>
      </c>
      <c r="D20" s="2" t="str">
        <f aca="false">IF(C20="Yes","Present","Absent")</f>
        <v>Present</v>
      </c>
    </row>
    <row r="21" customFormat="false" ht="15" hidden="false" customHeight="false" outlineLevel="0" collapsed="false">
      <c r="A21" s="2" t="s">
        <v>16</v>
      </c>
      <c r="B21" s="9" t="s">
        <v>56</v>
      </c>
      <c r="C21" s="2" t="s">
        <v>57</v>
      </c>
      <c r="D21" s="2" t="str">
        <f aca="false">IF(C21="Yes","Present","Absent")</f>
        <v>Absent</v>
      </c>
    </row>
    <row r="22" customFormat="false" ht="15" hidden="false" customHeight="false" outlineLevel="0" collapsed="false">
      <c r="A22" s="2" t="s">
        <v>18</v>
      </c>
      <c r="B22" s="9" t="s">
        <v>10</v>
      </c>
      <c r="C22" s="2" t="s">
        <v>52</v>
      </c>
      <c r="D22" s="2" t="str">
        <f aca="false">IF(C22="Yes","Present","Absent")</f>
        <v>Present</v>
      </c>
    </row>
    <row r="23" customFormat="false" ht="15" hidden="false" customHeight="false" outlineLevel="0" collapsed="false">
      <c r="A23" s="2" t="s">
        <v>18</v>
      </c>
      <c r="B23" s="9" t="s">
        <v>53</v>
      </c>
      <c r="C23" s="2" t="s">
        <v>52</v>
      </c>
      <c r="D23" s="2" t="str">
        <f aca="false">IF(C23="Yes","Present","Absent")</f>
        <v>Present</v>
      </c>
    </row>
    <row r="24" customFormat="false" ht="15" hidden="false" customHeight="false" outlineLevel="0" collapsed="false">
      <c r="A24" s="2" t="s">
        <v>18</v>
      </c>
      <c r="B24" s="9" t="s">
        <v>54</v>
      </c>
      <c r="C24" s="2" t="s">
        <v>57</v>
      </c>
      <c r="D24" s="2" t="str">
        <f aca="false">IF(C24="Yes","Present","Absent")</f>
        <v>Absent</v>
      </c>
    </row>
    <row r="25" customFormat="false" ht="15" hidden="false" customHeight="false" outlineLevel="0" collapsed="false">
      <c r="A25" s="2" t="s">
        <v>18</v>
      </c>
      <c r="B25" s="9" t="s">
        <v>55</v>
      </c>
      <c r="C25" s="2" t="s">
        <v>57</v>
      </c>
      <c r="D25" s="2" t="str">
        <f aca="false">IF(C25="Yes","Present","Absent")</f>
        <v>Absent</v>
      </c>
    </row>
    <row r="26" customFormat="false" ht="15" hidden="false" customHeight="false" outlineLevel="0" collapsed="false">
      <c r="A26" s="2" t="s">
        <v>18</v>
      </c>
      <c r="B26" s="9" t="s">
        <v>56</v>
      </c>
      <c r="C26" s="2" t="s">
        <v>57</v>
      </c>
      <c r="D26" s="2" t="str">
        <f aca="false">IF(C26="Yes","Present","Absent")</f>
        <v>Absent</v>
      </c>
    </row>
    <row r="27" customFormat="false" ht="15" hidden="false" customHeight="false" outlineLevel="0" collapsed="false">
      <c r="A27" s="2" t="s">
        <v>20</v>
      </c>
      <c r="B27" s="9" t="s">
        <v>10</v>
      </c>
      <c r="C27" s="2" t="s">
        <v>57</v>
      </c>
      <c r="D27" s="2" t="str">
        <f aca="false">IF(C27="Yes","Present","Absent")</f>
        <v>Absent</v>
      </c>
    </row>
    <row r="28" customFormat="false" ht="15" hidden="false" customHeight="false" outlineLevel="0" collapsed="false">
      <c r="A28" s="2" t="s">
        <v>20</v>
      </c>
      <c r="B28" s="9" t="s">
        <v>53</v>
      </c>
      <c r="C28" s="2" t="s">
        <v>57</v>
      </c>
      <c r="D28" s="2" t="str">
        <f aca="false">IF(C28="Yes","Present","Absent")</f>
        <v>Absent</v>
      </c>
    </row>
    <row r="29" customFormat="false" ht="15" hidden="false" customHeight="false" outlineLevel="0" collapsed="false">
      <c r="A29" s="2" t="s">
        <v>20</v>
      </c>
      <c r="B29" s="9" t="s">
        <v>54</v>
      </c>
      <c r="C29" s="2" t="s">
        <v>52</v>
      </c>
      <c r="D29" s="2" t="str">
        <f aca="false">IF(C29="Yes","Present","Absent")</f>
        <v>Present</v>
      </c>
    </row>
    <row r="30" customFormat="false" ht="15" hidden="false" customHeight="false" outlineLevel="0" collapsed="false">
      <c r="A30" s="2" t="s">
        <v>20</v>
      </c>
      <c r="B30" s="9" t="s">
        <v>55</v>
      </c>
      <c r="C30" s="2" t="s">
        <v>57</v>
      </c>
      <c r="D30" s="2" t="str">
        <f aca="false">IF(C30="Yes","Present","Absent")</f>
        <v>Absent</v>
      </c>
    </row>
    <row r="31" customFormat="false" ht="15" hidden="false" customHeight="false" outlineLevel="0" collapsed="false">
      <c r="A31" s="2" t="s">
        <v>20</v>
      </c>
      <c r="B31" s="9" t="s">
        <v>56</v>
      </c>
      <c r="C31" s="2" t="s">
        <v>57</v>
      </c>
      <c r="D31" s="2" t="str">
        <f aca="false">IF(C31="Yes","Present","Absent")</f>
        <v>Absent</v>
      </c>
    </row>
    <row r="32" customFormat="false" ht="15" hidden="false" customHeight="false" outlineLevel="0" collapsed="false">
      <c r="A32" s="2" t="s">
        <v>21</v>
      </c>
      <c r="B32" s="9" t="s">
        <v>10</v>
      </c>
      <c r="C32" s="2" t="s">
        <v>52</v>
      </c>
      <c r="D32" s="2" t="str">
        <f aca="false">IF(C32="Yes","Present","Absent")</f>
        <v>Present</v>
      </c>
    </row>
    <row r="33" customFormat="false" ht="15" hidden="false" customHeight="false" outlineLevel="0" collapsed="false">
      <c r="A33" s="2" t="s">
        <v>21</v>
      </c>
      <c r="B33" s="9" t="s">
        <v>53</v>
      </c>
      <c r="C33" s="2" t="s">
        <v>52</v>
      </c>
      <c r="D33" s="2" t="str">
        <f aca="false">IF(C33="Yes","Present","Absent")</f>
        <v>Present</v>
      </c>
    </row>
    <row r="34" customFormat="false" ht="15" hidden="false" customHeight="false" outlineLevel="0" collapsed="false">
      <c r="A34" s="2" t="s">
        <v>21</v>
      </c>
      <c r="B34" s="9" t="s">
        <v>54</v>
      </c>
      <c r="C34" s="2" t="s">
        <v>52</v>
      </c>
      <c r="D34" s="2" t="str">
        <f aca="false">IF(C34="Yes","Present","Absent")</f>
        <v>Present</v>
      </c>
    </row>
    <row r="35" customFormat="false" ht="15" hidden="false" customHeight="false" outlineLevel="0" collapsed="false">
      <c r="A35" s="2" t="s">
        <v>21</v>
      </c>
      <c r="B35" s="9" t="s">
        <v>55</v>
      </c>
      <c r="C35" s="2" t="s">
        <v>57</v>
      </c>
      <c r="D35" s="2" t="str">
        <f aca="false">IF(C35="Yes","Present","Absent")</f>
        <v>Absent</v>
      </c>
    </row>
    <row r="36" customFormat="false" ht="15" hidden="false" customHeight="false" outlineLevel="0" collapsed="false">
      <c r="A36" s="2" t="s">
        <v>21</v>
      </c>
      <c r="B36" s="9" t="s">
        <v>56</v>
      </c>
      <c r="C36" s="2" t="s">
        <v>52</v>
      </c>
      <c r="D36" s="2" t="str">
        <f aca="false">IF(C36="Yes","Present","Absent")</f>
        <v>Present</v>
      </c>
    </row>
    <row r="37" customFormat="false" ht="15" hidden="false" customHeight="false" outlineLevel="0" collapsed="false">
      <c r="A37" s="2" t="s">
        <v>22</v>
      </c>
      <c r="B37" s="9" t="s">
        <v>10</v>
      </c>
      <c r="C37" s="2" t="s">
        <v>52</v>
      </c>
      <c r="D37" s="2" t="str">
        <f aca="false">IF(C37="Yes","Present","Absent")</f>
        <v>Present</v>
      </c>
    </row>
    <row r="38" customFormat="false" ht="15" hidden="false" customHeight="false" outlineLevel="0" collapsed="false">
      <c r="A38" s="2" t="s">
        <v>22</v>
      </c>
      <c r="B38" s="9" t="s">
        <v>53</v>
      </c>
      <c r="C38" s="2" t="s">
        <v>52</v>
      </c>
      <c r="D38" s="2" t="str">
        <f aca="false">IF(C38="Yes","Present","Absent")</f>
        <v>Present</v>
      </c>
    </row>
    <row r="39" customFormat="false" ht="15" hidden="false" customHeight="false" outlineLevel="0" collapsed="false">
      <c r="A39" s="2" t="s">
        <v>22</v>
      </c>
      <c r="B39" s="9" t="s">
        <v>54</v>
      </c>
      <c r="C39" s="2" t="s">
        <v>52</v>
      </c>
      <c r="D39" s="2" t="str">
        <f aca="false">IF(C39="Yes","Present","Absent")</f>
        <v>Present</v>
      </c>
    </row>
    <row r="40" customFormat="false" ht="15" hidden="false" customHeight="false" outlineLevel="0" collapsed="false">
      <c r="A40" s="2" t="s">
        <v>22</v>
      </c>
      <c r="B40" s="9" t="s">
        <v>55</v>
      </c>
      <c r="C40" s="2" t="s">
        <v>52</v>
      </c>
      <c r="D40" s="2" t="str">
        <f aca="false">IF(C40="Yes","Present","Absent")</f>
        <v>Present</v>
      </c>
    </row>
    <row r="41" customFormat="false" ht="15" hidden="false" customHeight="false" outlineLevel="0" collapsed="false">
      <c r="A41" s="2" t="s">
        <v>22</v>
      </c>
      <c r="B41" s="9" t="s">
        <v>56</v>
      </c>
      <c r="C41" s="2" t="s">
        <v>52</v>
      </c>
      <c r="D41" s="2" t="str">
        <f aca="false">IF(C41="Yes","Present","Absent")</f>
        <v>Present</v>
      </c>
    </row>
    <row r="42" customFormat="false" ht="15" hidden="false" customHeight="false" outlineLevel="0" collapsed="false">
      <c r="A42" s="2" t="s">
        <v>24</v>
      </c>
      <c r="B42" s="9" t="s">
        <v>10</v>
      </c>
      <c r="C42" s="2" t="s">
        <v>52</v>
      </c>
      <c r="D42" s="2" t="str">
        <f aca="false">IF(C42="Yes","Present","Absent")</f>
        <v>Present</v>
      </c>
    </row>
    <row r="43" customFormat="false" ht="15" hidden="false" customHeight="false" outlineLevel="0" collapsed="false">
      <c r="A43" s="2" t="s">
        <v>24</v>
      </c>
      <c r="B43" s="9" t="s">
        <v>53</v>
      </c>
      <c r="C43" s="2" t="s">
        <v>57</v>
      </c>
      <c r="D43" s="2" t="str">
        <f aca="false">IF(C43="Yes","Present","Absent")</f>
        <v>Absent</v>
      </c>
    </row>
    <row r="44" customFormat="false" ht="15" hidden="false" customHeight="false" outlineLevel="0" collapsed="false">
      <c r="A44" s="2" t="s">
        <v>24</v>
      </c>
      <c r="B44" s="9" t="s">
        <v>54</v>
      </c>
      <c r="C44" s="2" t="s">
        <v>57</v>
      </c>
      <c r="D44" s="2" t="str">
        <f aca="false">IF(C44="Yes","Present","Absent")</f>
        <v>Absent</v>
      </c>
    </row>
    <row r="45" customFormat="false" ht="15" hidden="false" customHeight="false" outlineLevel="0" collapsed="false">
      <c r="A45" s="2" t="s">
        <v>24</v>
      </c>
      <c r="B45" s="9" t="s">
        <v>55</v>
      </c>
      <c r="C45" s="2" t="s">
        <v>57</v>
      </c>
      <c r="D45" s="2" t="str">
        <f aca="false">IF(C45="Yes","Present","Absent")</f>
        <v>Absent</v>
      </c>
    </row>
    <row r="46" customFormat="false" ht="15" hidden="false" customHeight="false" outlineLevel="0" collapsed="false">
      <c r="A46" s="2" t="s">
        <v>24</v>
      </c>
      <c r="B46" s="9" t="s">
        <v>56</v>
      </c>
      <c r="C46" s="2" t="s">
        <v>57</v>
      </c>
      <c r="D46" s="2" t="str">
        <f aca="false">IF(C46="Yes","Present","Absent")</f>
        <v>Absent</v>
      </c>
    </row>
    <row r="47" customFormat="false" ht="15" hidden="false" customHeight="false" outlineLevel="0" collapsed="false">
      <c r="A47" s="2" t="s">
        <v>26</v>
      </c>
      <c r="B47" s="9" t="s">
        <v>10</v>
      </c>
      <c r="C47" s="2" t="s">
        <v>52</v>
      </c>
      <c r="D47" s="2" t="str">
        <f aca="false">IF(C47="Yes","Present","Absent")</f>
        <v>Present</v>
      </c>
    </row>
    <row r="48" customFormat="false" ht="15" hidden="false" customHeight="false" outlineLevel="0" collapsed="false">
      <c r="A48" s="2" t="s">
        <v>26</v>
      </c>
      <c r="B48" s="9" t="s">
        <v>53</v>
      </c>
      <c r="C48" s="2" t="s">
        <v>52</v>
      </c>
      <c r="D48" s="2" t="str">
        <f aca="false">IF(C48="Yes","Present","Absent")</f>
        <v>Present</v>
      </c>
    </row>
    <row r="49" customFormat="false" ht="15" hidden="false" customHeight="false" outlineLevel="0" collapsed="false">
      <c r="A49" s="2" t="s">
        <v>26</v>
      </c>
      <c r="B49" s="9" t="s">
        <v>54</v>
      </c>
      <c r="C49" s="2" t="s">
        <v>57</v>
      </c>
      <c r="D49" s="2" t="str">
        <f aca="false">IF(C49="Yes","Present","Absent")</f>
        <v>Absent</v>
      </c>
    </row>
    <row r="50" customFormat="false" ht="15" hidden="false" customHeight="false" outlineLevel="0" collapsed="false">
      <c r="A50" s="2" t="s">
        <v>26</v>
      </c>
      <c r="B50" s="9" t="s">
        <v>55</v>
      </c>
      <c r="C50" s="2" t="s">
        <v>52</v>
      </c>
      <c r="D50" s="2" t="str">
        <f aca="false">IF(C50="Yes","Present","Absent")</f>
        <v>Present</v>
      </c>
    </row>
    <row r="51" customFormat="false" ht="15" hidden="false" customHeight="false" outlineLevel="0" collapsed="false">
      <c r="A51" s="2" t="s">
        <v>26</v>
      </c>
      <c r="B51" s="9" t="s">
        <v>56</v>
      </c>
      <c r="C51" s="2" t="s">
        <v>52</v>
      </c>
      <c r="D51" s="2" t="str">
        <f aca="false">IF(C51="Yes","Present","Absent")</f>
        <v>Present</v>
      </c>
    </row>
    <row r="52" customFormat="false" ht="15" hidden="false" customHeight="false" outlineLevel="0" collapsed="false">
      <c r="A52" s="2" t="s">
        <v>28</v>
      </c>
      <c r="B52" s="9" t="s">
        <v>10</v>
      </c>
      <c r="C52" s="2" t="s">
        <v>57</v>
      </c>
      <c r="D52" s="2" t="str">
        <f aca="false">IF(C52="Yes","Present","Absent")</f>
        <v>Absent</v>
      </c>
    </row>
    <row r="53" customFormat="false" ht="15" hidden="false" customHeight="false" outlineLevel="0" collapsed="false">
      <c r="A53" s="2" t="s">
        <v>28</v>
      </c>
      <c r="B53" s="9" t="s">
        <v>53</v>
      </c>
      <c r="C53" s="2" t="s">
        <v>52</v>
      </c>
      <c r="D53" s="2" t="str">
        <f aca="false">IF(C53="Yes","Present","Absent")</f>
        <v>Present</v>
      </c>
    </row>
    <row r="54" customFormat="false" ht="15" hidden="false" customHeight="false" outlineLevel="0" collapsed="false">
      <c r="A54" s="2" t="s">
        <v>28</v>
      </c>
      <c r="B54" s="9" t="s">
        <v>54</v>
      </c>
      <c r="C54" s="2" t="s">
        <v>57</v>
      </c>
      <c r="D54" s="2" t="str">
        <f aca="false">IF(C54="Yes","Present","Absent")</f>
        <v>Absent</v>
      </c>
    </row>
    <row r="55" customFormat="false" ht="15" hidden="false" customHeight="false" outlineLevel="0" collapsed="false">
      <c r="A55" s="2" t="s">
        <v>28</v>
      </c>
      <c r="B55" s="9" t="s">
        <v>55</v>
      </c>
      <c r="C55" s="2" t="s">
        <v>57</v>
      </c>
      <c r="D55" s="2" t="str">
        <f aca="false">IF(C55="Yes","Present","Absent")</f>
        <v>Absent</v>
      </c>
    </row>
    <row r="56" customFormat="false" ht="15" hidden="false" customHeight="false" outlineLevel="0" collapsed="false">
      <c r="A56" s="2" t="s">
        <v>28</v>
      </c>
      <c r="B56" s="9" t="s">
        <v>56</v>
      </c>
      <c r="C56" s="2" t="s">
        <v>57</v>
      </c>
      <c r="D56" s="2" t="str">
        <f aca="false">IF(C56="Yes","Present","Absent")</f>
        <v>Absent</v>
      </c>
    </row>
    <row r="57" customFormat="false" ht="15" hidden="false" customHeight="false" outlineLevel="0" collapsed="false">
      <c r="A57" s="2" t="s">
        <v>29</v>
      </c>
      <c r="B57" s="9" t="s">
        <v>10</v>
      </c>
      <c r="C57" s="2" t="s">
        <v>52</v>
      </c>
      <c r="D57" s="2" t="str">
        <f aca="false">IF(C57="Yes","Present","Absent")</f>
        <v>Present</v>
      </c>
    </row>
    <row r="58" customFormat="false" ht="15" hidden="false" customHeight="false" outlineLevel="0" collapsed="false">
      <c r="A58" s="2" t="s">
        <v>29</v>
      </c>
      <c r="B58" s="9" t="s">
        <v>53</v>
      </c>
      <c r="C58" s="2" t="s">
        <v>57</v>
      </c>
      <c r="D58" s="2" t="str">
        <f aca="false">IF(C58="Yes","Present","Absent")</f>
        <v>Absent</v>
      </c>
    </row>
    <row r="59" customFormat="false" ht="15" hidden="false" customHeight="false" outlineLevel="0" collapsed="false">
      <c r="A59" s="2" t="s">
        <v>29</v>
      </c>
      <c r="B59" s="9" t="s">
        <v>54</v>
      </c>
      <c r="C59" s="2" t="s">
        <v>52</v>
      </c>
      <c r="D59" s="2" t="str">
        <f aca="false">IF(C59="Yes","Present","Absent")</f>
        <v>Present</v>
      </c>
    </row>
    <row r="60" customFormat="false" ht="15" hidden="false" customHeight="false" outlineLevel="0" collapsed="false">
      <c r="A60" s="2" t="s">
        <v>29</v>
      </c>
      <c r="B60" s="9" t="s">
        <v>55</v>
      </c>
      <c r="C60" s="2" t="s">
        <v>57</v>
      </c>
      <c r="D60" s="2" t="str">
        <f aca="false">IF(C60="Yes","Present","Absent")</f>
        <v>Absent</v>
      </c>
    </row>
    <row r="61" customFormat="false" ht="15" hidden="false" customHeight="false" outlineLevel="0" collapsed="false">
      <c r="A61" s="2" t="s">
        <v>29</v>
      </c>
      <c r="B61" s="9" t="s">
        <v>56</v>
      </c>
      <c r="C61" s="2" t="s">
        <v>52</v>
      </c>
      <c r="D61" s="2" t="str">
        <f aca="false">IF(C61="Yes","Present","Absent")</f>
        <v>Present</v>
      </c>
    </row>
  </sheetData>
  <conditionalFormatting sqref="D2:D61">
    <cfRule type="cellIs" priority="2" operator="equal" aboveAverage="0" equalAverage="0" bottom="0" percent="0" rank="0" text="" dxfId="19">
      <formula>"Present"</formula>
    </cfRule>
    <cfRule type="cellIs" priority="3" operator="equal" aboveAverage="0" equalAverage="0" bottom="0" percent="0" rank="0" text="" dxfId="20">
      <formula>"Absent"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2026-08-27T20:28:57Z</dcterms:created>
  <dc:creator>openpyxl</dc:creator>
  <dc:description/>
  <dc:language>en-US</dc:language>
  <cp:lastModifiedBy/>
  <dcterms:modified xsi:type="dcterms:W3CDTF">2026-08-27T20:29:00Z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