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Tracker" sheetId="1" state="visible" r:id="rId3"/>
    <sheet name="List1" sheetId="2" state="visible" r:id="rId4"/>
    <sheet name="List2" sheetId="3" state="visible" r:id="rId5"/>
    <sheet name="Lis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<sst xmlns="http://schemas.openxmlformats.org/spreadsheetml/2006/main" count="39" uniqueCount="28">
  <si>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 xml:space="preserve">Name</t>
  </si>
  <si>
    <t xml:space="preserve">Month</t>
  </si>
  <si>
    <t xml:space="preserve">Contact</t>
  </si>
  <si>
    <t xml:space="preserve">Group/Department</t>
  </si>
  <si>
    <t xml:space="preserve">Total days present</t>
  </si>
  <si>
    <t xml:space="preserve">Actual days present</t>
  </si>
  <si>
    <t xml:space="preserve">Attendance percentage</t>
  </si>
  <si>
    <t xml:space="preserve">Attendance requirement met</t>
  </si>
  <si>
    <t xml:space="preserve">Jordan Example</t>
  </si>
  <si>
    <t xml:space="preserve">2026-01-01</t>
  </si>
  <si>
    <t xml:space="preserve">TEMPLATE - How to reuse this tracker for a new event:</t>
  </si>
  <si>
    <t xml:space="preserve">1. Update List1 with attendee Name + Contact (delete the example row first).</t>
  </si>
  <si>
    <t xml:space="preserve">2. Update List2 with each attendee's Group/Department, and edit the legend/thresholds below it.</t>
  </si>
  <si>
    <t xml:space="preserve">3. Update List3 with one row per person per day, marking Attended as Yes or No.</t>
  </si>
  <si>
    <t xml:space="preserve">4. Paste attendee names into column A of this Attendance Tracker sheet, then fill formulas in C-H down to match.</t>
  </si>
  <si>
    <t xml:space="preserve">5. Update the Total days present formula (column E) to match your event's date range.</t>
  </si>
  <si>
    <t xml:space="preserve">6. Add a PivotTable (Insert &gt; PivotTable) on List3 and on this sheet to explore trends, and insert charts as needed.</t>
  </si>
  <si>
    <t xml:space="preserve">jordan.example@email.com</t>
  </si>
  <si>
    <t xml:space="preserve">TEMPLATE - replace the example row with your real attendee list (Name + Contact). Add one row per person.</t>
  </si>
  <si>
    <t xml:space="preserve">Example Group A</t>
  </si>
  <si>
    <t xml:space="preserve">Attendance Requirement Legend (edit groups/thresholds to fit your event)</t>
  </si>
  <si>
    <t xml:space="preserve">Minimum Attendance Required</t>
  </si>
  <si>
    <t xml:space="preserve">&gt;= 80%</t>
  </si>
  <si>
    <t xml:space="preserve">Date</t>
  </si>
  <si>
    <t xml:space="preserve">Attended</t>
  </si>
  <si>
    <t xml:space="preserve">Attendance status</t>
  </si>
  <si>
    <t xml:space="preserve">Yes</t>
  </si>
  <si>
    <t xml:space="preserve">TEMPLATE - one row per person per day. Attended = Yes/No. Attendance status fills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</si>
</sst>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yy"/>
    <numFmt numFmtId="166" formatCode="General"/>
    <numFmt numFmtId="167" formatCode="0.0%"/>
    <numFmt numFmtId="168" formatCode="mmm\-dd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22222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444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C6E8C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port Header" xfId="20"/>
  </cellStyles>
  <dxfs count="7">
    <dxf>
      <fill>
        <patternFill patternType="solid">
          <fgColor rgb="FFC6DA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>
          <bgColor rgb="FFC6E8C6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tendanceTrackerTemplate" displayName="AttendanceTrackerTemplate" ref="A1:H2" headerRowCount="1" totalsRowCount="0" totalsRowShown="0">
  <autoFilter ref="A1:H2"/>
  <tableColumns count="8">
    <tableColumn id="1" name="Name"/>
    <tableColumn id="2" name="Month"/>
    <tableColumn id="3" name="Contact"/>
    <tableColumn id="4" name="Group/Department"/>
    <tableColumn id="5" name="Total days present"/>
    <tableColumn id="6" name="Actual days present"/>
    <tableColumn id="7" name="Attendance percentage"/>
    <tableColumn id="8" name="Attendance requirement me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4" t="str">
        <f aca="false">INDEX(List1!$B:$B,MATCH(A2,List1!$A:$A,0))</f>
        <v>jordan.example@email.com</v>
      </c>
      <c r="D2" s="4" t="str">
        <f aca="false">INDEX(List2!$B:$B,MATCH(A2,List2!$A:$A,0))</f>
        <v>Example Group A</v>
      </c>
      <c r="E2" s="4" t="n">
        <f aca="false">DATE(2026,1,5)-DATE(2026,1,1)+1</f>
        <v>5</v>
      </c>
      <c r="F2" s="5" t="n">
        <f aca="false">COUNTIFS(List3!$A:$A,A2,List3!$C:$C,"Yes")</f>
        <v>1</v>
      </c>
      <c r="G2" s="6" t="n">
        <f aca="false">ROUND(F2/E2,4)</f>
        <v>0.2</v>
      </c>
      <c r="H2" s="4" t="str">
        <f aca="false">IF(G2&gt;=0.8,"Met","Not Met")</f>
        <v>Not Met</v>
      </c>
    </row>
    <row r="5" customFormat="false" ht="15" hidden="false" customHeight="false" outlineLevel="0" collapsed="false">
      <c r="A5" s="7" t="s">
        <v>10</v>
      </c>
    </row>
    <row r="6" customFormat="false" ht="15" hidden="false" customHeight="false" outlineLevel="0" collapsed="false">
      <c r="A6" s="8" t="s">
        <v>11</v>
      </c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 t="s">
        <v>12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 t="s">
        <v>13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 t="s">
        <v>14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 t="s">
        <v>15</v>
      </c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 t="s">
        <v>16</v>
      </c>
      <c r="B11" s="8"/>
      <c r="C11" s="8"/>
      <c r="D11" s="8"/>
      <c r="E11" s="8"/>
      <c r="F11" s="8"/>
      <c r="G11" s="8"/>
      <c r="H11" s="8"/>
    </row>
  </sheetData>
  <mergeCells count="6">
    <mergeCell ref="A6:H6"/>
    <mergeCell ref="A7:H7"/>
    <mergeCell ref="A8:H8"/>
    <mergeCell ref="A9:H9"/>
    <mergeCell ref="A10:H10"/>
    <mergeCell ref="A11:H11"/>
  </mergeCells>
  <conditionalFormatting sqref="F2:F200">
    <cfRule type="dataBar" priority="2">
      <dataBar showValue="1" minLength="10" maxLength="90">
        <cfvo type="min" val="0"/>
        <cfvo type="max" val="0"/>
        <color rgb="FF6FA8DC"/>
      </dataBar>
      <extLst>
        <ext xmlns:x14="http://schemas.microsoft.com/office/spreadsheetml/2009/9/main" uri="{B025F937-C7B1-47D3-B67F-A62EFF666E3E}">
          <x14:id>{4577D81C-6519-4EF5-B776-4A9D436BF7C1}</x14:id>
        </ext>
      </extLst>
    </cfRule>
  </conditionalFormatting>
  <conditionalFormatting sqref="G2:G200">
    <cfRule type="colorScale" priority="3">
      <colorScale>
        <cfvo type="min" val="0"/>
        <cfvo type="max" val="0"/>
        <color rgb="FFF4C7C3"/>
        <color rgb="FFC6E8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77D81C-6519-4EF5-B776-4A9D436BF7C1}">
            <x14:dataBar minLength="10" maxLength="90" axisPosition="none" gradient="true">
              <x14:cfvo type="min"/>
              <x14:cfvo type="max"/>
              <x14:negativeFillColor rgb="FF6FA8DC"/>
              <x14:axisColor rgb="FF000000"/>
            </x14:dataBar>
          </x14:cfRule>
          <xm:sqref>F2:F200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" t="s">
        <v>0</v>
      </c>
      <c r="B1" s="1" t="s">
        <v>2</v>
      </c>
    </row>
    <row r="2" customFormat="false" ht="15" hidden="false" customHeight="false" outlineLevel="0" collapsed="false">
      <c r="A2" s="2" t="s">
        <v>8</v>
      </c>
      <c r="B2" s="2" t="s">
        <v>17</v>
      </c>
    </row>
    <row r="4" customFormat="false" ht="15" hidden="false" customHeight="false" outlineLevel="0" collapsed="false">
      <c r="A4" s="9" t="s">
        <v>18</v>
      </c>
      <c r="B4" s="9"/>
    </row>
  </sheetData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3</v>
      </c>
    </row>
    <row r="2" customFormat="false" ht="15" hidden="false" customHeight="false" outlineLevel="0" collapsed="false">
      <c r="A2" s="2" t="s">
        <v>8</v>
      </c>
      <c r="B2" s="2" t="s">
        <v>19</v>
      </c>
    </row>
    <row r="4" customFormat="false" ht="15" hidden="false" customHeight="false" outlineLevel="0" collapsed="false">
      <c r="A4" s="7" t="s">
        <v>20</v>
      </c>
    </row>
    <row r="5" customFormat="false" ht="15" hidden="false" customHeight="false" outlineLevel="0" collapsed="false">
      <c r="A5" s="10" t="s">
        <v>3</v>
      </c>
      <c r="B5" s="10" t="s">
        <v>21</v>
      </c>
    </row>
    <row r="6" customFormat="false" ht="15" hidden="false" customHeight="false" outlineLevel="0" collapsed="false">
      <c r="A6" s="2" t="s">
        <v>19</v>
      </c>
      <c r="B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</row>
    <row r="2" customFormat="false" ht="15" hidden="false" customHeight="false" outlineLevel="0" collapsed="false">
      <c r="A2" s="2" t="s">
        <v>8</v>
      </c>
      <c r="B2" s="11" t="s">
        <v>9</v>
      </c>
      <c r="C2" s="2" t="s">
        <v>26</v>
      </c>
      <c r="D2" s="5" t="str">
        <f aca="false">IF(C2="Yes","Present","Absent")</f>
        <v>Present</v>
      </c>
    </row>
    <row r="4" customFormat="false" ht="15" hidden="false" customHeight="false" outlineLevel="0" collapsed="false">
      <c r="A4" s="9" t="s">
        <v>27</v>
      </c>
      <c r="B4" s="9"/>
      <c r="C4" s="9"/>
      <c r="D4" s="9"/>
    </row>
  </sheetData>
  <mergeCells count="1">
    <mergeCell ref="A4:D4"/>
  </mergeCells>
  <conditionalFormatting sqref="D2:D200">
    <cfRule type="cellIs" priority="2" operator="equal" aboveAverage="0" equalAverage="0" bottom="0" percent="0" rank="0" text="" dxfId="5">
      <formula>"Present"</formula>
    </cfRule>
    <cfRule type="cellIs" priority="3" operator="equal" aboveAverage="0" equalAverage="0" bottom="0" percent="0" rank="0" text="" dxfId="6">
      <formula>"Absent"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2026-08-27T20:29:40Z</dcterms:created>
  <dc:creator>openpyxl</dc:creator>
  <dc:description/>
  <dc:language>en-US</dc:language>
  <cp:lastModifiedBy/>
  <dcterms:modified xsi:type="dcterms:W3CDTF">2026-08-27T20:29:40Z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