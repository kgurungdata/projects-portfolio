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 Tracker" sheetId="1" state="visible" r:id="rId3"/>
    <sheet name="List1" sheetId="2" state="visible" r:id="rId4"/>
    <sheet name="List2" sheetId="3" state="visible" r:id="rId5"/>
    <sheet name="List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<sst xmlns="http://schemas.openxmlformats.org/spreadsheetml/2006/main" count="818" uniqueCount="134">
  <si>
    <t xml:space="preserve">Name</t>
  </si>
  <si>
    <t xml:space="preserve">Month</t>
  </si>
  <si>
    <t xml:space="preserve">Contact</t>
  </si>
  <si>
    <t xml:space="preserve">Department</t>
  </si>
  <si>
    <t xml:space="preserve">Group</t>
  </si>
  <si>
    <t xml:space="preserve">Total days present</t>
  </si>
  <si>
    <t xml:space="preserve">Actual days present</t>
  </si>
  <si>
    <t xml:space="preserve">Attendance percentage</t>
  </si>
  <si>
    <t xml:space="preserve">Attendance requirement met</t>
  </si>
  <si>
    <t xml:space="preserve">Avg Attendance %</t>
  </si>
  <si>
    <t xml:space="preserve">Attendee 1</t>
  </si>
  <si>
    <t xml:space="preserve">Marketing</t>
  </si>
  <si>
    <t xml:space="preserve">Attendee 2</t>
  </si>
  <si>
    <t xml:space="preserve">Sales</t>
  </si>
  <si>
    <t xml:space="preserve">Attendee 3</t>
  </si>
  <si>
    <t xml:space="preserve">HR</t>
  </si>
  <si>
    <t xml:space="preserve">Attendee 4</t>
  </si>
  <si>
    <t xml:space="preserve">IT</t>
  </si>
  <si>
    <t xml:space="preserve">Attendee 5</t>
  </si>
  <si>
    <t xml:space="preserve">Finance</t>
  </si>
  <si>
    <t xml:space="preserve">Attendee 6</t>
  </si>
  <si>
    <t xml:space="preserve">Attendee 7</t>
  </si>
  <si>
    <t xml:space="preserve">Highest attendance rate (individual):</t>
  </si>
  <si>
    <t xml:space="preserve">Attendee 8</t>
  </si>
  <si>
    <t xml:space="preserve"># individuals who attended only 1 day:</t>
  </si>
  <si>
    <t xml:space="preserve">Attendee 9</t>
  </si>
  <si>
    <t xml:space="preserve">% of individuals who met requirement:</t>
  </si>
  <si>
    <t xml:space="preserve">Attendee 10</t>
  </si>
  <si>
    <t xml:space="preserve">Attendee 11</t>
  </si>
  <si>
    <t xml:space="preserve">Attendee 12</t>
  </si>
  <si>
    <t xml:space="preserve">Attendee 13</t>
  </si>
  <si>
    <t xml:space="preserve">Attendee 14</t>
  </si>
  <si>
    <t xml:space="preserve">Attendee 15</t>
  </si>
  <si>
    <t xml:space="preserve">Attendee 16</t>
  </si>
  <si>
    <t xml:space="preserve">Attendee 17</t>
  </si>
  <si>
    <t xml:space="preserve">Attendee 18</t>
  </si>
  <si>
    <t xml:space="preserve">Attendee 19</t>
  </si>
  <si>
    <t xml:space="preserve">Attendee 20</t>
  </si>
  <si>
    <t xml:space="preserve">Attendee 21</t>
  </si>
  <si>
    <t xml:space="preserve">Attendee 22</t>
  </si>
  <si>
    <t xml:space="preserve">Attendee 23</t>
  </si>
  <si>
    <t xml:space="preserve">Attendee 24</t>
  </si>
  <si>
    <t xml:space="preserve">Attendee 25</t>
  </si>
  <si>
    <t xml:space="preserve">Attendee 26</t>
  </si>
  <si>
    <t xml:space="preserve">Attendee 27</t>
  </si>
  <si>
    <t xml:space="preserve">Attendee 28</t>
  </si>
  <si>
    <t xml:space="preserve">Attendee 29</t>
  </si>
  <si>
    <t xml:space="preserve">Attendee 30</t>
  </si>
  <si>
    <t xml:space="preserve">Attendee 31</t>
  </si>
  <si>
    <t xml:space="preserve">Attendee 32</t>
  </si>
  <si>
    <t xml:space="preserve">Attendee 33</t>
  </si>
  <si>
    <t xml:space="preserve">Attendee 34</t>
  </si>
  <si>
    <t xml:space="preserve">Attendee 35</t>
  </si>
  <si>
    <t xml:space="preserve">Attendee 36</t>
  </si>
  <si>
    <t xml:space="preserve">Attendee 37</t>
  </si>
  <si>
    <t xml:space="preserve">Attendee 38</t>
  </si>
  <si>
    <t xml:space="preserve">Attendee 39</t>
  </si>
  <si>
    <t xml:space="preserve">Attendee 40</t>
  </si>
  <si>
    <t xml:space="preserve">Attendee 41</t>
  </si>
  <si>
    <t xml:space="preserve">Attendee 42</t>
  </si>
  <si>
    <t xml:space="preserve">Attendee 43</t>
  </si>
  <si>
    <t xml:space="preserve">Attendee 44</t>
  </si>
  <si>
    <t xml:space="preserve">Attendee 45</t>
  </si>
  <si>
    <t xml:space="preserve">Attendee 46</t>
  </si>
  <si>
    <t xml:space="preserve">Attendee 47</t>
  </si>
  <si>
    <t xml:space="preserve">Attendee 48</t>
  </si>
  <si>
    <t xml:space="preserve">Attendee 49</t>
  </si>
  <si>
    <t xml:space="preserve">Attendee 50</t>
  </si>
  <si>
    <t xml:space="preserve">attendee1@company.com</t>
  </si>
  <si>
    <t xml:space="preserve">attendee2@company.com</t>
  </si>
  <si>
    <t xml:space="preserve">attendee3@company.com</t>
  </si>
  <si>
    <t xml:space="preserve">attendee4@company.com</t>
  </si>
  <si>
    <t xml:space="preserve">attendee5@company.com</t>
  </si>
  <si>
    <t xml:space="preserve">attendee6@company.com</t>
  </si>
  <si>
    <t xml:space="preserve">attendee7@company.com</t>
  </si>
  <si>
    <t xml:space="preserve">attendee8@company.com</t>
  </si>
  <si>
    <t xml:space="preserve">attendee9@company.com</t>
  </si>
  <si>
    <t xml:space="preserve">attendee10@company.com</t>
  </si>
  <si>
    <t xml:space="preserve">attendee11@company.com</t>
  </si>
  <si>
    <t xml:space="preserve">attendee12@company.com</t>
  </si>
  <si>
    <t xml:space="preserve">attendee13@company.com</t>
  </si>
  <si>
    <t xml:space="preserve">attendee14@company.com</t>
  </si>
  <si>
    <t xml:space="preserve">attendee15@company.com</t>
  </si>
  <si>
    <t xml:space="preserve">attendee16@company.com</t>
  </si>
  <si>
    <t xml:space="preserve">attendee17@company.com</t>
  </si>
  <si>
    <t xml:space="preserve">attendee18@company.com</t>
  </si>
  <si>
    <t xml:space="preserve">attendee19@company.com</t>
  </si>
  <si>
    <t xml:space="preserve">attendee20@company.com</t>
  </si>
  <si>
    <t xml:space="preserve">attendee21@company.com</t>
  </si>
  <si>
    <t xml:space="preserve">attendee22@company.com</t>
  </si>
  <si>
    <t xml:space="preserve">attendee23@company.com</t>
  </si>
  <si>
    <t xml:space="preserve">attendee24@company.com</t>
  </si>
  <si>
    <t xml:space="preserve">attendee25@company.com</t>
  </si>
  <si>
    <t xml:space="preserve">attendee26@company.com</t>
  </si>
  <si>
    <t xml:space="preserve">attendee27@company.com</t>
  </si>
  <si>
    <t xml:space="preserve">attendee28@company.com</t>
  </si>
  <si>
    <t xml:space="preserve">attendee29@company.com</t>
  </si>
  <si>
    <t xml:space="preserve">attendee30@company.com</t>
  </si>
  <si>
    <t xml:space="preserve">attendee31@company.com</t>
  </si>
  <si>
    <t xml:space="preserve">attendee32@company.com</t>
  </si>
  <si>
    <t xml:space="preserve">attendee33@company.com</t>
  </si>
  <si>
    <t xml:space="preserve">attendee34@company.com</t>
  </si>
  <si>
    <t xml:space="preserve">attendee35@company.com</t>
  </si>
  <si>
    <t xml:space="preserve">attendee36@company.com</t>
  </si>
  <si>
    <t xml:space="preserve">attendee37@company.com</t>
  </si>
  <si>
    <t xml:space="preserve">attendee38@company.com</t>
  </si>
  <si>
    <t xml:space="preserve">attendee39@company.com</t>
  </si>
  <si>
    <t xml:space="preserve">attendee40@company.com</t>
  </si>
  <si>
    <t xml:space="preserve">attendee41@company.com</t>
  </si>
  <si>
    <t xml:space="preserve">attendee42@company.com</t>
  </si>
  <si>
    <t xml:space="preserve">attendee43@company.com</t>
  </si>
  <si>
    <t xml:space="preserve">attendee44@company.com</t>
  </si>
  <si>
    <t xml:space="preserve">attendee45@company.com</t>
  </si>
  <si>
    <t xml:space="preserve">attendee46@company.com</t>
  </si>
  <si>
    <t xml:space="preserve">attendee47@company.com</t>
  </si>
  <si>
    <t xml:space="preserve">attendee48@company.com</t>
  </si>
  <si>
    <t xml:space="preserve">attendee49@company.com</t>
  </si>
  <si>
    <t xml:space="preserve">attendee50@company.com</t>
  </si>
  <si>
    <t xml:space="preserve">7 names appear twice in this list (Attendees 7, 8, 9, 28, 29, 30, 31) - highlighted above. Delete the extra duplicate rows before pasting names into the Attendance Tracker sheet.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</si>
  <si>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</si>
  <si>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</si>
  <si>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</si>
  <si>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</si>
  <si>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</si>
  <si>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Min. Attendance Required</t>
  </si>
  <si>
    <t xml:space="preserve">&gt;= 80%</t>
  </si>
  <si>
    <t xml:space="preserve">&gt;= 40%</t>
  </si>
  <si>
    <t xml:space="preserve">Date</t>
  </si>
  <si>
    <t xml:space="preserve">Attended</t>
  </si>
  <si>
    <t xml:space="preserve">Attendance status</t>
  </si>
  <si>
    <t xml:space="preserve">Day</t>
  </si>
  <si>
    <t xml:space="preserve"># Present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</si>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</sst>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yy"/>
    <numFmt numFmtId="166" formatCode="General"/>
    <numFmt numFmtId="167" formatCode="0.0%"/>
    <numFmt numFmtId="168" formatCode="mmm\-dd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2222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port Header" xfId="20"/>
  </cellStyles>
  <dxfs count="22">
    <dxf>
      <fill>
        <patternFill patternType="solid">
          <fgColor rgb="FFC6DA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BEE3F8"/>
          <bgColor rgb="FF000000"/>
        </patternFill>
      </fill>
    </dxf>
    <dxf>
      <fill>
        <patternFill patternType="solid">
          <fgColor rgb="FFC6F6D5"/>
          <bgColor rgb="FF000000"/>
        </patternFill>
      </fill>
    </dxf>
    <dxf>
      <fill>
        <patternFill patternType="solid">
          <fgColor rgb="FFD6BCFA"/>
          <bgColor rgb="FF000000"/>
        </patternFill>
      </fill>
    </dxf>
    <dxf>
      <fill>
        <patternFill patternType="solid">
          <fgColor rgb="FFFBD5A5"/>
          <bgColor rgb="FF000000"/>
        </patternFill>
      </fill>
    </dxf>
    <dxf>
      <fill>
        <patternFill patternType="solid">
          <fgColor rgb="FFFED7D7"/>
          <bgColor rgb="FF000000"/>
        </patternFill>
      </fill>
    </dxf>
    <dxf>
      <fill>
        <patternFill patternType="solid">
          <fgColor rgb="FFC6E8C6"/>
          <bgColor rgb="FF000000"/>
        </patternFill>
      </fill>
    </dxf>
    <dxf>
      <fill>
        <patternFill patternType="solid">
          <fgColor rgb="FFD0E1C5"/>
          <bgColor rgb="FF000000"/>
        </patternFill>
      </fill>
    </dxf>
    <dxf>
      <fill>
        <patternFill patternType="solid">
          <fgColor rgb="FFD9DAC4"/>
          <bgColor rgb="FF000000"/>
        </patternFill>
      </fill>
    </dxf>
    <dxf>
      <fill>
        <patternFill patternType="solid">
          <fgColor rgb="FFE2D4C4"/>
          <bgColor rgb="FF000000"/>
        </patternFill>
      </fill>
    </dxf>
    <dxf>
      <fill>
        <patternFill patternType="solid">
          <fgColor rgb="FFEBCDC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>
          <bgColor rgb="FFBEE3F8"/>
        </patternFill>
      </fill>
    </dxf>
    <dxf>
      <fill>
        <patternFill>
          <bgColor rgb="FFFBD5A5"/>
        </patternFill>
      </fill>
    </dxf>
    <dxf>
      <fill>
        <patternFill>
          <bgColor rgb="FFD6BCFA"/>
        </patternFill>
      </fill>
    </dxf>
    <dxf>
      <fill>
        <patternFill>
          <bgColor rgb="FFC6F6D5"/>
        </patternFill>
      </fill>
    </dxf>
    <dxf>
      <fill>
        <patternFill>
          <bgColor rgb="FFFED7D7"/>
        </patternFill>
      </fill>
    </dxf>
    <dxf>
      <fill>
        <patternFill>
          <bgColor rgb="FFFFF3B0"/>
        </patternFill>
      </fill>
    </dxf>
    <dxf>
      <fill>
        <patternFill>
          <bgColor rgb="FFC6E8C6"/>
        </patternFill>
      </fill>
    </dxf>
    <dxf>
      <fill>
        <patternFill>
          <bgColor rgb="FFF4C7C3"/>
        </patternFill>
      </fill>
    </dxf>
  </dxfs>
  <colors>
    <indexedColors>
      <rgbColor rgb="FF000000"/>
      <rgbColor rgb="FFD9D9D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ADA"/>
      <rgbColor rgb="FF878787"/>
      <rgbColor rgb="FF9999FF"/>
      <rgbColor rgb="FF993366"/>
      <rgbColor rgb="FFFED7D7"/>
      <rgbColor rgb="FFBEE3F8"/>
      <rgbColor rgb="FF660066"/>
      <rgbColor rgb="FFFF8080"/>
      <rgbColor rgb="FF0066CC"/>
      <rgbColor rgb="FFD6BC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8C6"/>
      <rgbColor rgb="FFC6F6D5"/>
      <rgbColor rgb="FFFFF3B0"/>
      <rgbColor rgb="FF99CCFF"/>
      <rgbColor rgb="FFF4C7C3"/>
      <rgbColor rgb="FFCC99FF"/>
      <rgbColor rgb="FFFBD5A5"/>
      <rgbColor rgb="FF4F81BD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Attendance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'Attendance Tracker'!L1</c:f>
              <c:strCache>
                <c:ptCount val="1"/>
                <c:pt idx="0">
                  <c:v>Avg Attendance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'Attendance Tracker'!$K$2:$K$6</c:f>
              <c:strCache>
                <c:ptCount val="5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'Attendance Tracker'!$L$2:$L$6</c:f>
              <c:numCache>
                <c:formatCode>0.0%</c:formatCode>
                <c:ptCount val="5"/>
                <c:pt idx="0">
                  <c:v>0.52</c:v>
                </c:pt>
                <c:pt idx="1">
                  <c:v>0.52</c:v>
                </c:pt>
                <c:pt idx="2">
                  <c:v>0.48</c:v>
                </c:pt>
                <c:pt idx="3">
                  <c:v>0.54</c:v>
                </c:pt>
                <c:pt idx="4">
                  <c:v>0.48</c:v>
                </c:pt>
              </c:numCache>
            </c:numRef>
          </c:val>
        </c:ser>
        <c:gapWidth val="150"/>
        <c:overlap val="0"/>
        <c:axId val="58822394"/>
        <c:axId val="53685138"/>
      </c:barChart>
      <c:catAx>
        <c:axId val="588223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85138"/>
        <c:crosses val="autoZero"/>
        <c:auto val="1"/>
        <c:lblAlgn val="ctr"/>
        <c:lblOffset val="100"/>
        <c:noMultiLvlLbl val="0"/>
      </c:catAx>
      <c:valAx>
        <c:axId val="53685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22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List3!G1</c:f>
              <c:strCache>
                <c:ptCount val="1"/>
                <c:pt idx="0">
                  <c:v># Present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List3!$F$2:$F$6</c:f>
              <c:strCache>
                <c:ptCount val="5"/>
                <c:pt idx="0">
                  <c:v>Jul-01-2024</c:v>
                </c:pt>
                <c:pt idx="1">
                  <c:v>Jul-02-2024</c:v>
                </c:pt>
                <c:pt idx="2">
                  <c:v>Jul-03-2024</c:v>
                </c:pt>
                <c:pt idx="3">
                  <c:v>Jul-04-2024</c:v>
                </c:pt>
                <c:pt idx="4">
                  <c:v>Jul-05-2024</c:v>
                </c:pt>
              </c:strCache>
            </c:strRef>
          </c:cat>
          <c:val>
            <c:numRef>
              <c:f>List3!$G$2:$G$6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24</c:v>
                </c:pt>
                <c:pt idx="3">
                  <c:v>30</c:v>
                </c:pt>
                <c:pt idx="4">
                  <c:v>23</c:v>
                </c:pt>
              </c:numCache>
            </c:numRef>
          </c:val>
        </c:ser>
        <c:gapWidth val="150"/>
        <c:overlap val="0"/>
        <c:axId val="35861942"/>
        <c:axId val="51405534"/>
      </c:barChart>
      <c:catAx>
        <c:axId val="35861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dd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05534"/>
        <c:crosses val="autoZero"/>
        <c:auto val="1"/>
        <c:lblAlgn val="ctr"/>
        <c:lblOffset val="100"/>
        <c:noMultiLvlLbl val="0"/>
      </c:catAx>
      <c:valAx>
        <c:axId val="514055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Present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619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8</xdr:row>
      <xdr:rowOff>40320</xdr:rowOff>
    </xdr:from>
    <xdr:to>
      <xdr:col>16</xdr:col>
      <xdr:colOff>338040</xdr:colOff>
      <xdr:row>21</xdr:row>
      <xdr:rowOff>83160</xdr:rowOff>
    </xdr:to>
    <xdr:graphicFrame>
      <xdr:nvGraphicFramePr>
        <xdr:cNvPr id="0" name="Chart 1"/>
        <xdr:cNvGraphicFramePr/>
      </xdr:nvGraphicFramePr>
      <xdr:xfrm>
        <a:off x="10361160" y="1714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16</xdr:col>
      <xdr:colOff>147600</xdr:colOff>
      <xdr:row>12</xdr:row>
      <xdr:rowOff>83160</xdr:rowOff>
    </xdr:to>
    <xdr:graphicFrame>
      <xdr:nvGraphicFramePr>
        <xdr:cNvPr id="1" name="Chart 1"/>
        <xdr:cNvGraphicFramePr/>
      </xdr:nvGraphicFramePr>
      <xdr:xfrm>
        <a:off x="6743880" y="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endanceTracker" displayName="AttendanceTracker" ref="A1:I51" headerRowCount="1" totalsRowCount="0" totalsRowShown="0">
  <autoFilter ref="A1:I51"/>
  <tableColumns count="9">
    <tableColumn id="1" name="Name"/>
    <tableColumn id="2" name="Month"/>
    <tableColumn id="3" name="Contact"/>
    <tableColumn id="4" name="Department"/>
    <tableColumn id="5" name="Group"/>
    <tableColumn id="6" name="Total days present"/>
    <tableColumn id="7" name="Actual days present"/>
    <tableColumn id="8" name="Attendance percentage"/>
    <tableColumn id="9" name="Attendance requirement me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8" min="6" style="0" width="16"/>
    <col collapsed="false" customWidth="true" hidden="false" outlineLevel="0" max="9" min="9" style="0" width="20"/>
    <col collapsed="false" customWidth="true" hidden="false" outlineLevel="0" max="10" min="10" style="0" width="3"/>
    <col collapsed="false" customWidth="true" hidden="false" outlineLevel="0" max="12" min="11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3</v>
      </c>
      <c r="L1" s="1" t="s">
        <v>9</v>
      </c>
    </row>
    <row r="2" customFormat="false" ht="15" hidden="false" customHeight="false" outlineLevel="0" collapsed="false">
      <c r="A2" s="2" t="s">
        <v>10</v>
      </c>
      <c r="B2" s="3" t="n">
        <v>45474</v>
      </c>
      <c r="C2" s="2" t="str">
        <f aca="false">INDEX(List1!$B:$B,MATCH(A2,List1!$A:$A,0))</f>
        <v>attendee1@company.com</v>
      </c>
      <c r="D2" s="2" t="str">
        <f aca="false">INDEX(List2!$B:$B,MATCH(A2,List2!$A:$A,0))</f>
        <v>Marketing</v>
      </c>
      <c r="E2" s="2" t="str">
        <f aca="false">INDEX(List2!$E:$E,MATCH(D2,List2!$D:$D,0))</f>
        <v>A</v>
      </c>
      <c r="F2" s="2" t="n">
        <f aca="false">DATE(2024,7,5)-DATE(2024,7,1)+1</f>
        <v>5</v>
      </c>
      <c r="G2" s="4" t="n">
        <f aca="false">COUNTIFS(List3!$A:$A,A2,List3!$C:$C,"Yes")</f>
        <v>2</v>
      </c>
      <c r="H2" s="5" t="n">
        <f aca="false">ROUND(G2/F2,4)</f>
        <v>0.4</v>
      </c>
      <c r="I2" s="2" t="str">
        <f aca="false">IF(OR(E2="A",E2="B",E2="C"),IF(H2&gt;=0.8,"Met","Not Met"),IF(H2&gt;=0.4,"Met","Not Met"))</f>
        <v>Not Met</v>
      </c>
      <c r="K2" s="2" t="s">
        <v>11</v>
      </c>
      <c r="L2" s="5" t="n">
        <f aca="false">ROUND(AVERAGEIFS($H$2:$H$51,$D$2:$D$51,K2),4)</f>
        <v>0.52</v>
      </c>
    </row>
    <row r="3" customFormat="false" ht="15" hidden="false" customHeight="false" outlineLevel="0" collapsed="false">
      <c r="A3" s="2" t="s">
        <v>12</v>
      </c>
      <c r="B3" s="3" t="n">
        <v>45474</v>
      </c>
      <c r="C3" s="2" t="str">
        <f aca="false">INDEX(List1!$B:$B,MATCH(A3,List1!$A:$A,0))</f>
        <v>attendee2@company.com</v>
      </c>
      <c r="D3" s="2" t="str">
        <f aca="false">INDEX(List2!$B:$B,MATCH(A3,List2!$A:$A,0))</f>
        <v>Sales</v>
      </c>
      <c r="E3" s="2" t="str">
        <f aca="false">INDEX(List2!$E:$E,MATCH(D3,List2!$D:$D,0))</f>
        <v>B</v>
      </c>
      <c r="F3" s="2" t="n">
        <f aca="false">DATE(2024,7,5)-DATE(2024,7,1)+1</f>
        <v>5</v>
      </c>
      <c r="G3" s="4" t="n">
        <f aca="false">COUNTIFS(List3!$A:$A,A3,List3!$C:$C,"Yes")</f>
        <v>3</v>
      </c>
      <c r="H3" s="5" t="n">
        <f aca="false">ROUND(G3/F3,4)</f>
        <v>0.6</v>
      </c>
      <c r="I3" s="2" t="str">
        <f aca="false">IF(OR(E3="A",E3="B",E3="C"),IF(H3&gt;=0.8,"Met","Not Met"),IF(H3&gt;=0.4,"Met","Not Met"))</f>
        <v>Not Met</v>
      </c>
      <c r="K3" s="2" t="s">
        <v>13</v>
      </c>
      <c r="L3" s="5" t="n">
        <f aca="false">ROUND(AVERAGEIFS($H$2:$H$51,$D$2:$D$51,K3),4)</f>
        <v>0.52</v>
      </c>
    </row>
    <row r="4" customFormat="false" ht="15" hidden="false" customHeight="false" outlineLevel="0" collapsed="false">
      <c r="A4" s="2" t="s">
        <v>14</v>
      </c>
      <c r="B4" s="3" t="n">
        <v>45474</v>
      </c>
      <c r="C4" s="2" t="str">
        <f aca="false">INDEX(List1!$B:$B,MATCH(A4,List1!$A:$A,0))</f>
        <v>attendee3@company.com</v>
      </c>
      <c r="D4" s="2" t="str">
        <f aca="false">INDEX(List2!$B:$B,MATCH(A4,List2!$A:$A,0))</f>
        <v>HR</v>
      </c>
      <c r="E4" s="2" t="str">
        <f aca="false">INDEX(List2!$E:$E,MATCH(D4,List2!$D:$D,0))</f>
        <v>C</v>
      </c>
      <c r="F4" s="2" t="n">
        <f aca="false">DATE(2024,7,5)-DATE(2024,7,1)+1</f>
        <v>5</v>
      </c>
      <c r="G4" s="4" t="n">
        <f aca="false">COUNTIFS(List3!$A:$A,A4,List3!$C:$C,"Yes")</f>
        <v>2</v>
      </c>
      <c r="H4" s="5" t="n">
        <f aca="false">ROUND(G4/F4,4)</f>
        <v>0.4</v>
      </c>
      <c r="I4" s="2" t="str">
        <f aca="false">IF(OR(E4="A",E4="B",E4="C"),IF(H4&gt;=0.8,"Met","Not Met"),IF(H4&gt;=0.4,"Met","Not Met"))</f>
        <v>Not Met</v>
      </c>
      <c r="K4" s="2" t="s">
        <v>15</v>
      </c>
      <c r="L4" s="5" t="n">
        <f aca="false">ROUND(AVERAGEIFS($H$2:$H$51,$D$2:$D$51,K4),4)</f>
        <v>0.48</v>
      </c>
    </row>
    <row r="5" customFormat="false" ht="15" hidden="false" customHeight="false" outlineLevel="0" collapsed="false">
      <c r="A5" s="2" t="s">
        <v>16</v>
      </c>
      <c r="B5" s="3" t="n">
        <v>45474</v>
      </c>
      <c r="C5" s="2" t="str">
        <f aca="false">INDEX(List1!$B:$B,MATCH(A5,List1!$A:$A,0))</f>
        <v>attendee4@company.com</v>
      </c>
      <c r="D5" s="2" t="str">
        <f aca="false">INDEX(List2!$B:$B,MATCH(A5,List2!$A:$A,0))</f>
        <v>IT</v>
      </c>
      <c r="E5" s="2" t="str">
        <f aca="false">INDEX(List2!$E:$E,MATCH(D5,List2!$D:$D,0))</f>
        <v>D</v>
      </c>
      <c r="F5" s="2" t="n">
        <f aca="false">DATE(2024,7,5)-DATE(2024,7,1)+1</f>
        <v>5</v>
      </c>
      <c r="G5" s="4" t="n">
        <f aca="false">COUNTIFS(List3!$A:$A,A5,List3!$C:$C,"Yes")</f>
        <v>2</v>
      </c>
      <c r="H5" s="5" t="n">
        <f aca="false">ROUND(G5/F5,4)</f>
        <v>0.4</v>
      </c>
      <c r="I5" s="2" t="str">
        <f aca="false">IF(OR(E5="A",E5="B",E5="C"),IF(H5&gt;=0.8,"Met","Not Met"),IF(H5&gt;=0.4,"Met","Not Met"))</f>
        <v>Met</v>
      </c>
      <c r="K5" s="2" t="s">
        <v>17</v>
      </c>
      <c r="L5" s="5" t="n">
        <f aca="false">ROUND(AVERAGEIFS($H$2:$H$51,$D$2:$D$51,K5),4)</f>
        <v>0.54</v>
      </c>
    </row>
    <row r="6" customFormat="false" ht="15" hidden="false" customHeight="false" outlineLevel="0" collapsed="false">
      <c r="A6" s="2" t="s">
        <v>18</v>
      </c>
      <c r="B6" s="3" t="n">
        <v>45474</v>
      </c>
      <c r="C6" s="2" t="str">
        <f aca="false">INDEX(List1!$B:$B,MATCH(A6,List1!$A:$A,0))</f>
        <v>attendee5@company.com</v>
      </c>
      <c r="D6" s="2" t="str">
        <f aca="false">INDEX(List2!$B:$B,MATCH(A6,List2!$A:$A,0))</f>
        <v>Finance</v>
      </c>
      <c r="E6" s="2" t="str">
        <f aca="false">INDEX(List2!$E:$E,MATCH(D6,List2!$D:$D,0))</f>
        <v>E</v>
      </c>
      <c r="F6" s="2" t="n">
        <f aca="false">DATE(2024,7,5)-DATE(2024,7,1)+1</f>
        <v>5</v>
      </c>
      <c r="G6" s="4" t="n">
        <f aca="false">COUNTIFS(List3!$A:$A,A6,List3!$C:$C,"Yes")</f>
        <v>3</v>
      </c>
      <c r="H6" s="5" t="n">
        <f aca="false">ROUND(G6/F6,4)</f>
        <v>0.6</v>
      </c>
      <c r="I6" s="2" t="str">
        <f aca="false">IF(OR(E6="A",E6="B",E6="C"),IF(H6&gt;=0.8,"Met","Not Met"),IF(H6&gt;=0.4,"Met","Not Met"))</f>
        <v>Met</v>
      </c>
      <c r="K6" s="2" t="s">
        <v>19</v>
      </c>
      <c r="L6" s="5" t="n">
        <f aca="false">ROUND(AVERAGEIFS($H$2:$H$51,$D$2:$D$51,K6),4)</f>
        <v>0.48</v>
      </c>
    </row>
    <row r="7" customFormat="false" ht="15" hidden="false" customHeight="false" outlineLevel="0" collapsed="false">
      <c r="A7" s="2" t="s">
        <v>20</v>
      </c>
      <c r="B7" s="3" t="n">
        <v>45474</v>
      </c>
      <c r="C7" s="2" t="str">
        <f aca="false">INDEX(List1!$B:$B,MATCH(A7,List1!$A:$A,0))</f>
        <v>attendee6@company.com</v>
      </c>
      <c r="D7" s="2" t="str">
        <f aca="false">INDEX(List2!$B:$B,MATCH(A7,List2!$A:$A,0))</f>
        <v>Marketing</v>
      </c>
      <c r="E7" s="2" t="str">
        <f aca="false">INDEX(List2!$E:$E,MATCH(D7,List2!$D:$D,0))</f>
        <v>A</v>
      </c>
      <c r="F7" s="2" t="n">
        <f aca="false">DATE(2024,7,5)-DATE(2024,7,1)+1</f>
        <v>5</v>
      </c>
      <c r="G7" s="4" t="n">
        <f aca="false">COUNTIFS(List3!$A:$A,A7,List3!$C:$C,"Yes")</f>
        <v>3</v>
      </c>
      <c r="H7" s="5" t="n">
        <f aca="false">ROUND(G7/F7,4)</f>
        <v>0.6</v>
      </c>
      <c r="I7" s="2" t="str">
        <f aca="false">IF(OR(E7="A",E7="B",E7="C"),IF(H7&gt;=0.8,"Met","Not Met"),IF(H7&gt;=0.4,"Met","Not Met"))</f>
        <v>Not Met</v>
      </c>
    </row>
    <row r="8" customFormat="false" ht="15" hidden="false" customHeight="false" outlineLevel="0" collapsed="false">
      <c r="A8" s="2" t="s">
        <v>21</v>
      </c>
      <c r="B8" s="3" t="n">
        <v>45474</v>
      </c>
      <c r="C8" s="2" t="str">
        <f aca="false">INDEX(List1!$B:$B,MATCH(A8,List1!$A:$A,0))</f>
        <v>attendee7@company.com</v>
      </c>
      <c r="D8" s="2" t="str">
        <f aca="false">INDEX(List2!$B:$B,MATCH(A8,List2!$A:$A,0))</f>
        <v>Sales</v>
      </c>
      <c r="E8" s="2" t="str">
        <f aca="false">INDEX(List2!$E:$E,MATCH(D8,List2!$D:$D,0))</f>
        <v>B</v>
      </c>
      <c r="F8" s="2" t="n">
        <f aca="false">DATE(2024,7,5)-DATE(2024,7,1)+1</f>
        <v>5</v>
      </c>
      <c r="G8" s="4" t="n">
        <f aca="false">COUNTIFS(List3!$A:$A,A8,List3!$C:$C,"Yes")</f>
        <v>4</v>
      </c>
      <c r="H8" s="5" t="n">
        <f aca="false">ROUND(G8/F8,4)</f>
        <v>0.8</v>
      </c>
      <c r="I8" s="2" t="str">
        <f aca="false">IF(OR(E8="A",E8="B",E8="C"),IF(H8&gt;=0.8,"Met","Not Met"),IF(H8&gt;=0.4,"Met","Not Met"))</f>
        <v>Met</v>
      </c>
      <c r="K8" s="6" t="s">
        <v>22</v>
      </c>
      <c r="L8" s="2" t="str">
        <f aca="false">INDEX($A$2:$A$51,MATCH(MAX($H$2:$H$51),$H$2:$H$51,0))</f>
        <v>Attendee 33</v>
      </c>
    </row>
    <row r="9" customFormat="false" ht="15" hidden="false" customHeight="false" outlineLevel="0" collapsed="false">
      <c r="A9" s="2" t="s">
        <v>23</v>
      </c>
      <c r="B9" s="3" t="n">
        <v>45474</v>
      </c>
      <c r="C9" s="2" t="str">
        <f aca="false">INDEX(List1!$B:$B,MATCH(A9,List1!$A:$A,0))</f>
        <v>attendee8@company.com</v>
      </c>
      <c r="D9" s="2" t="str">
        <f aca="false">INDEX(List2!$B:$B,MATCH(A9,List2!$A:$A,0))</f>
        <v>HR</v>
      </c>
      <c r="E9" s="2" t="str">
        <f aca="false">INDEX(List2!$E:$E,MATCH(D9,List2!$D:$D,0))</f>
        <v>C</v>
      </c>
      <c r="F9" s="2" t="n">
        <f aca="false">DATE(2024,7,5)-DATE(2024,7,1)+1</f>
        <v>5</v>
      </c>
      <c r="G9" s="4" t="n">
        <f aca="false">COUNTIFS(List3!$A:$A,A9,List3!$C:$C,"Yes")</f>
        <v>3</v>
      </c>
      <c r="H9" s="5" t="n">
        <f aca="false">ROUND(G9/F9,4)</f>
        <v>0.6</v>
      </c>
      <c r="I9" s="2" t="str">
        <f aca="false">IF(OR(E9="A",E9="B",E9="C"),IF(H9&gt;=0.8,"Met","Not Met"),IF(H9&gt;=0.4,"Met","Not Met"))</f>
        <v>Not Met</v>
      </c>
      <c r="K9" s="6" t="s">
        <v>24</v>
      </c>
      <c r="L9" s="2" t="n">
        <f aca="false">COUNTIF($G$2:$G$51,1)</f>
        <v>4</v>
      </c>
    </row>
    <row r="10" customFormat="false" ht="15" hidden="false" customHeight="false" outlineLevel="0" collapsed="false">
      <c r="A10" s="2" t="s">
        <v>25</v>
      </c>
      <c r="B10" s="3" t="n">
        <v>45474</v>
      </c>
      <c r="C10" s="2" t="str">
        <f aca="false">INDEX(List1!$B:$B,MATCH(A10,List1!$A:$A,0))</f>
        <v>attendee9@company.com</v>
      </c>
      <c r="D10" s="2" t="str">
        <f aca="false">INDEX(List2!$B:$B,MATCH(A10,List2!$A:$A,0))</f>
        <v>IT</v>
      </c>
      <c r="E10" s="2" t="str">
        <f aca="false">INDEX(List2!$E:$E,MATCH(D10,List2!$D:$D,0))</f>
        <v>D</v>
      </c>
      <c r="F10" s="2" t="n">
        <f aca="false">DATE(2024,7,5)-DATE(2024,7,1)+1</f>
        <v>5</v>
      </c>
      <c r="G10" s="4" t="n">
        <f aca="false">COUNTIFS(List3!$A:$A,A10,List3!$C:$C,"Yes")</f>
        <v>4</v>
      </c>
      <c r="H10" s="5" t="n">
        <f aca="false">ROUND(G10/F10,4)</f>
        <v>0.8</v>
      </c>
      <c r="I10" s="2" t="str">
        <f aca="false">IF(OR(E10="A",E10="B",E10="C"),IF(H10&gt;=0.8,"Met","Not Met"),IF(H10&gt;=0.4,"Met","Not Met"))</f>
        <v>Met</v>
      </c>
      <c r="K10" s="6" t="s">
        <v>26</v>
      </c>
      <c r="L10" s="5" t="n">
        <f aca="false">ROUND(COUNTIF($I$2:$I$51,"Met")/COUNTA($I$2:$I$51),4)</f>
        <v>0.48</v>
      </c>
    </row>
    <row r="11" customFormat="false" ht="15" hidden="false" customHeight="false" outlineLevel="0" collapsed="false">
      <c r="A11" s="2" t="s">
        <v>27</v>
      </c>
      <c r="B11" s="3" t="n">
        <v>45474</v>
      </c>
      <c r="C11" s="2" t="str">
        <f aca="false">INDEX(List1!$B:$B,MATCH(A11,List1!$A:$A,0))</f>
        <v>attendee10@company.com</v>
      </c>
      <c r="D11" s="2" t="str">
        <f aca="false">INDEX(List2!$B:$B,MATCH(A11,List2!$A:$A,0))</f>
        <v>Finance</v>
      </c>
      <c r="E11" s="2" t="str">
        <f aca="false">INDEX(List2!$E:$E,MATCH(D11,List2!$D:$D,0))</f>
        <v>E</v>
      </c>
      <c r="F11" s="2" t="n">
        <f aca="false">DATE(2024,7,5)-DATE(2024,7,1)+1</f>
        <v>5</v>
      </c>
      <c r="G11" s="4" t="n">
        <f aca="false">COUNTIFS(List3!$A:$A,A11,List3!$C:$C,"Yes")</f>
        <v>2</v>
      </c>
      <c r="H11" s="5" t="n">
        <f aca="false">ROUND(G11/F11,4)</f>
        <v>0.4</v>
      </c>
      <c r="I11" s="2" t="str">
        <f aca="false">IF(OR(E11="A",E11="B",E11="C"),IF(H11&gt;=0.8,"Met","Not Met"),IF(H11&gt;=0.4,"Met","Not Met"))</f>
        <v>Met</v>
      </c>
    </row>
    <row r="12" customFormat="false" ht="15" hidden="false" customHeight="false" outlineLevel="0" collapsed="false">
      <c r="A12" s="2" t="s">
        <v>28</v>
      </c>
      <c r="B12" s="3" t="n">
        <v>45474</v>
      </c>
      <c r="C12" s="2" t="str">
        <f aca="false">INDEX(List1!$B:$B,MATCH(A12,List1!$A:$A,0))</f>
        <v>attendee11@company.com</v>
      </c>
      <c r="D12" s="2" t="str">
        <f aca="false">INDEX(List2!$B:$B,MATCH(A12,List2!$A:$A,0))</f>
        <v>Marketing</v>
      </c>
      <c r="E12" s="2" t="str">
        <f aca="false">INDEX(List2!$E:$E,MATCH(D12,List2!$D:$D,0))</f>
        <v>A</v>
      </c>
      <c r="F12" s="2" t="n">
        <f aca="false">DATE(2024,7,5)-DATE(2024,7,1)+1</f>
        <v>5</v>
      </c>
      <c r="G12" s="4" t="n">
        <f aca="false">COUNTIFS(List3!$A:$A,A12,List3!$C:$C,"Yes")</f>
        <v>3</v>
      </c>
      <c r="H12" s="5" t="n">
        <f aca="false">ROUND(G12/F12,4)</f>
        <v>0.6</v>
      </c>
      <c r="I12" s="2" t="str">
        <f aca="false">IF(OR(E12="A",E12="B",E12="C"),IF(H12&gt;=0.8,"Met","Not Met"),IF(H12&gt;=0.4,"Met","Not Met"))</f>
        <v>Not Met</v>
      </c>
    </row>
    <row r="13" customFormat="false" ht="15" hidden="false" customHeight="false" outlineLevel="0" collapsed="false">
      <c r="A13" s="2" t="s">
        <v>29</v>
      </c>
      <c r="B13" s="3" t="n">
        <v>45474</v>
      </c>
      <c r="C13" s="2" t="str">
        <f aca="false">INDEX(List1!$B:$B,MATCH(A13,List1!$A:$A,0))</f>
        <v>attendee12@company.com</v>
      </c>
      <c r="D13" s="2" t="str">
        <f aca="false">INDEX(List2!$B:$B,MATCH(A13,List2!$A:$A,0))</f>
        <v>Sales</v>
      </c>
      <c r="E13" s="2" t="str">
        <f aca="false">INDEX(List2!$E:$E,MATCH(D13,List2!$D:$D,0))</f>
        <v>B</v>
      </c>
      <c r="F13" s="2" t="n">
        <f aca="false">DATE(2024,7,5)-DATE(2024,7,1)+1</f>
        <v>5</v>
      </c>
      <c r="G13" s="4" t="n">
        <f aca="false">COUNTIFS(List3!$A:$A,A13,List3!$C:$C,"Yes")</f>
        <v>0</v>
      </c>
      <c r="H13" s="5" t="n">
        <f aca="false">ROUND(G13/F13,4)</f>
        <v>0</v>
      </c>
      <c r="I13" s="2" t="str">
        <f aca="false">IF(OR(E13="A",E13="B",E13="C"),IF(H13&gt;=0.8,"Met","Not Met"),IF(H13&gt;=0.4,"Met","Not Met"))</f>
        <v>Not Met</v>
      </c>
    </row>
    <row r="14" customFormat="false" ht="15" hidden="false" customHeight="false" outlineLevel="0" collapsed="false">
      <c r="A14" s="2" t="s">
        <v>30</v>
      </c>
      <c r="B14" s="3" t="n">
        <v>45474</v>
      </c>
      <c r="C14" s="2" t="str">
        <f aca="false">INDEX(List1!$B:$B,MATCH(A14,List1!$A:$A,0))</f>
        <v>attendee13@company.com</v>
      </c>
      <c r="D14" s="2" t="str">
        <f aca="false">INDEX(List2!$B:$B,MATCH(A14,List2!$A:$A,0))</f>
        <v>HR</v>
      </c>
      <c r="E14" s="2" t="str">
        <f aca="false">INDEX(List2!$E:$E,MATCH(D14,List2!$D:$D,0))</f>
        <v>C</v>
      </c>
      <c r="F14" s="2" t="n">
        <f aca="false">DATE(2024,7,5)-DATE(2024,7,1)+1</f>
        <v>5</v>
      </c>
      <c r="G14" s="4" t="n">
        <f aca="false">COUNTIFS(List3!$A:$A,A14,List3!$C:$C,"Yes")</f>
        <v>3</v>
      </c>
      <c r="H14" s="5" t="n">
        <f aca="false">ROUND(G14/F14,4)</f>
        <v>0.6</v>
      </c>
      <c r="I14" s="2" t="str">
        <f aca="false">IF(OR(E14="A",E14="B",E14="C"),IF(H14&gt;=0.8,"Met","Not Met"),IF(H14&gt;=0.4,"Met","Not Met"))</f>
        <v>Not Met</v>
      </c>
    </row>
    <row r="15" customFormat="false" ht="15" hidden="false" customHeight="false" outlineLevel="0" collapsed="false">
      <c r="A15" s="2" t="s">
        <v>31</v>
      </c>
      <c r="B15" s="3" t="n">
        <v>45474</v>
      </c>
      <c r="C15" s="2" t="str">
        <f aca="false">INDEX(List1!$B:$B,MATCH(A15,List1!$A:$A,0))</f>
        <v>attendee14@company.com</v>
      </c>
      <c r="D15" s="2" t="str">
        <f aca="false">INDEX(List2!$B:$B,MATCH(A15,List2!$A:$A,0))</f>
        <v>IT</v>
      </c>
      <c r="E15" s="2" t="str">
        <f aca="false">INDEX(List2!$E:$E,MATCH(D15,List2!$D:$D,0))</f>
        <v>D</v>
      </c>
      <c r="F15" s="2" t="n">
        <f aca="false">DATE(2024,7,5)-DATE(2024,7,1)+1</f>
        <v>5</v>
      </c>
      <c r="G15" s="4" t="n">
        <f aca="false">COUNTIFS(List3!$A:$A,A15,List3!$C:$C,"Yes")</f>
        <v>3</v>
      </c>
      <c r="H15" s="5" t="n">
        <f aca="false">ROUND(G15/F15,4)</f>
        <v>0.6</v>
      </c>
      <c r="I15" s="2" t="str">
        <f aca="false">IF(OR(E15="A",E15="B",E15="C"),IF(H15&gt;=0.8,"Met","Not Met"),IF(H15&gt;=0.4,"Met","Not Met"))</f>
        <v>Met</v>
      </c>
    </row>
    <row r="16" customFormat="false" ht="15" hidden="false" customHeight="false" outlineLevel="0" collapsed="false">
      <c r="A16" s="2" t="s">
        <v>32</v>
      </c>
      <c r="B16" s="3" t="n">
        <v>45474</v>
      </c>
      <c r="C16" s="2" t="str">
        <f aca="false">INDEX(List1!$B:$B,MATCH(A16,List1!$A:$A,0))</f>
        <v>attendee15@company.com</v>
      </c>
      <c r="D16" s="2" t="str">
        <f aca="false">INDEX(List2!$B:$B,MATCH(A16,List2!$A:$A,0))</f>
        <v>Finance</v>
      </c>
      <c r="E16" s="2" t="str">
        <f aca="false">INDEX(List2!$E:$E,MATCH(D16,List2!$D:$D,0))</f>
        <v>E</v>
      </c>
      <c r="F16" s="2" t="n">
        <f aca="false">DATE(2024,7,5)-DATE(2024,7,1)+1</f>
        <v>5</v>
      </c>
      <c r="G16" s="4" t="n">
        <f aca="false">COUNTIFS(List3!$A:$A,A16,List3!$C:$C,"Yes")</f>
        <v>3</v>
      </c>
      <c r="H16" s="5" t="n">
        <f aca="false">ROUND(G16/F16,4)</f>
        <v>0.6</v>
      </c>
      <c r="I16" s="2" t="str">
        <f aca="false">IF(OR(E16="A",E16="B",E16="C"),IF(H16&gt;=0.8,"Met","Not Met"),IF(H16&gt;=0.4,"Met","Not Met"))</f>
        <v>Met</v>
      </c>
    </row>
    <row r="17" customFormat="false" ht="15" hidden="false" customHeight="false" outlineLevel="0" collapsed="false">
      <c r="A17" s="2" t="s">
        <v>33</v>
      </c>
      <c r="B17" s="3" t="n">
        <v>45474</v>
      </c>
      <c r="C17" s="2" t="str">
        <f aca="false">INDEX(List1!$B:$B,MATCH(A17,List1!$A:$A,0))</f>
        <v>attendee16@company.com</v>
      </c>
      <c r="D17" s="2" t="str">
        <f aca="false">INDEX(List2!$B:$B,MATCH(A17,List2!$A:$A,0))</f>
        <v>Marketing</v>
      </c>
      <c r="E17" s="2" t="str">
        <f aca="false">INDEX(List2!$E:$E,MATCH(D17,List2!$D:$D,0))</f>
        <v>A</v>
      </c>
      <c r="F17" s="2" t="n">
        <f aca="false">DATE(2024,7,5)-DATE(2024,7,1)+1</f>
        <v>5</v>
      </c>
      <c r="G17" s="4" t="n">
        <f aca="false">COUNTIFS(List3!$A:$A,A17,List3!$C:$C,"Yes")</f>
        <v>2</v>
      </c>
      <c r="H17" s="5" t="n">
        <f aca="false">ROUND(G17/F17,4)</f>
        <v>0.4</v>
      </c>
      <c r="I17" s="2" t="str">
        <f aca="false">IF(OR(E17="A",E17="B",E17="C"),IF(H17&gt;=0.8,"Met","Not Met"),IF(H17&gt;=0.4,"Met","Not Met"))</f>
        <v>Not Met</v>
      </c>
    </row>
    <row r="18" customFormat="false" ht="15" hidden="false" customHeight="false" outlineLevel="0" collapsed="false">
      <c r="A18" s="2" t="s">
        <v>34</v>
      </c>
      <c r="B18" s="3" t="n">
        <v>45474</v>
      </c>
      <c r="C18" s="2" t="str">
        <f aca="false">INDEX(List1!$B:$B,MATCH(A18,List1!$A:$A,0))</f>
        <v>attendee17@company.com</v>
      </c>
      <c r="D18" s="2" t="str">
        <f aca="false">INDEX(List2!$B:$B,MATCH(A18,List2!$A:$A,0))</f>
        <v>Sales</v>
      </c>
      <c r="E18" s="2" t="str">
        <f aca="false">INDEX(List2!$E:$E,MATCH(D18,List2!$D:$D,0))</f>
        <v>B</v>
      </c>
      <c r="F18" s="2" t="n">
        <f aca="false">DATE(2024,7,5)-DATE(2024,7,1)+1</f>
        <v>5</v>
      </c>
      <c r="G18" s="4" t="n">
        <f aca="false">COUNTIFS(List3!$A:$A,A18,List3!$C:$C,"Yes")</f>
        <v>3</v>
      </c>
      <c r="H18" s="5" t="n">
        <f aca="false">ROUND(G18/F18,4)</f>
        <v>0.6</v>
      </c>
      <c r="I18" s="2" t="str">
        <f aca="false">IF(OR(E18="A",E18="B",E18="C"),IF(H18&gt;=0.8,"Met","Not Met"),IF(H18&gt;=0.4,"Met","Not Met"))</f>
        <v>Not Met</v>
      </c>
    </row>
    <row r="19" customFormat="false" ht="15" hidden="false" customHeight="false" outlineLevel="0" collapsed="false">
      <c r="A19" s="2" t="s">
        <v>35</v>
      </c>
      <c r="B19" s="3" t="n">
        <v>45474</v>
      </c>
      <c r="C19" s="2" t="str">
        <f aca="false">INDEX(List1!$B:$B,MATCH(A19,List1!$A:$A,0))</f>
        <v>attendee18@company.com</v>
      </c>
      <c r="D19" s="2" t="str">
        <f aca="false">INDEX(List2!$B:$B,MATCH(A19,List2!$A:$A,0))</f>
        <v>HR</v>
      </c>
      <c r="E19" s="2" t="str">
        <f aca="false">INDEX(List2!$E:$E,MATCH(D19,List2!$D:$D,0))</f>
        <v>C</v>
      </c>
      <c r="F19" s="2" t="n">
        <f aca="false">DATE(2024,7,5)-DATE(2024,7,1)+1</f>
        <v>5</v>
      </c>
      <c r="G19" s="4" t="n">
        <f aca="false">COUNTIFS(List3!$A:$A,A19,List3!$C:$C,"Yes")</f>
        <v>3</v>
      </c>
      <c r="H19" s="5" t="n">
        <f aca="false">ROUND(G19/F19,4)</f>
        <v>0.6</v>
      </c>
      <c r="I19" s="2" t="str">
        <f aca="false">IF(OR(E19="A",E19="B",E19="C"),IF(H19&gt;=0.8,"Met","Not Met"),IF(H19&gt;=0.4,"Met","Not Met"))</f>
        <v>Not Met</v>
      </c>
    </row>
    <row r="20" customFormat="false" ht="15" hidden="false" customHeight="false" outlineLevel="0" collapsed="false">
      <c r="A20" s="2" t="s">
        <v>36</v>
      </c>
      <c r="B20" s="3" t="n">
        <v>45474</v>
      </c>
      <c r="C20" s="2" t="str">
        <f aca="false">INDEX(List1!$B:$B,MATCH(A20,List1!$A:$A,0))</f>
        <v>attendee19@company.com</v>
      </c>
      <c r="D20" s="2" t="str">
        <f aca="false">INDEX(List2!$B:$B,MATCH(A20,List2!$A:$A,0))</f>
        <v>IT</v>
      </c>
      <c r="E20" s="2" t="str">
        <f aca="false">INDEX(List2!$E:$E,MATCH(D20,List2!$D:$D,0))</f>
        <v>D</v>
      </c>
      <c r="F20" s="2" t="n">
        <f aca="false">DATE(2024,7,5)-DATE(2024,7,1)+1</f>
        <v>5</v>
      </c>
      <c r="G20" s="4" t="n">
        <f aca="false">COUNTIFS(List3!$A:$A,A20,List3!$C:$C,"Yes")</f>
        <v>3</v>
      </c>
      <c r="H20" s="5" t="n">
        <f aca="false">ROUND(G20/F20,4)</f>
        <v>0.6</v>
      </c>
      <c r="I20" s="2" t="str">
        <f aca="false">IF(OR(E20="A",E20="B",E20="C"),IF(H20&gt;=0.8,"Met","Not Met"),IF(H20&gt;=0.4,"Met","Not Met"))</f>
        <v>Met</v>
      </c>
    </row>
    <row r="21" customFormat="false" ht="15" hidden="false" customHeight="false" outlineLevel="0" collapsed="false">
      <c r="A21" s="2" t="s">
        <v>37</v>
      </c>
      <c r="B21" s="3" t="n">
        <v>45474</v>
      </c>
      <c r="C21" s="2" t="str">
        <f aca="false">INDEX(List1!$B:$B,MATCH(A21,List1!$A:$A,0))</f>
        <v>attendee20@company.com</v>
      </c>
      <c r="D21" s="2" t="str">
        <f aca="false">INDEX(List2!$B:$B,MATCH(A21,List2!$A:$A,0))</f>
        <v>Finance</v>
      </c>
      <c r="E21" s="2" t="str">
        <f aca="false">INDEX(List2!$E:$E,MATCH(D21,List2!$D:$D,0))</f>
        <v>E</v>
      </c>
      <c r="F21" s="2" t="n">
        <f aca="false">DATE(2024,7,5)-DATE(2024,7,1)+1</f>
        <v>5</v>
      </c>
      <c r="G21" s="4" t="n">
        <f aca="false">COUNTIFS(List3!$A:$A,A21,List3!$C:$C,"Yes")</f>
        <v>2</v>
      </c>
      <c r="H21" s="5" t="n">
        <f aca="false">ROUND(G21/F21,4)</f>
        <v>0.4</v>
      </c>
      <c r="I21" s="2" t="str">
        <f aca="false">IF(OR(E21="A",E21="B",E21="C"),IF(H21&gt;=0.8,"Met","Not Met"),IF(H21&gt;=0.4,"Met","Not Met"))</f>
        <v>Met</v>
      </c>
    </row>
    <row r="22" customFormat="false" ht="15" hidden="false" customHeight="false" outlineLevel="0" collapsed="false">
      <c r="A22" s="2" t="s">
        <v>38</v>
      </c>
      <c r="B22" s="3" t="n">
        <v>45474</v>
      </c>
      <c r="C22" s="2" t="str">
        <f aca="false">INDEX(List1!$B:$B,MATCH(A22,List1!$A:$A,0))</f>
        <v>attendee21@company.com</v>
      </c>
      <c r="D22" s="2" t="str">
        <f aca="false">INDEX(List2!$B:$B,MATCH(A22,List2!$A:$A,0))</f>
        <v>Marketing</v>
      </c>
      <c r="E22" s="2" t="str">
        <f aca="false">INDEX(List2!$E:$E,MATCH(D22,List2!$D:$D,0))</f>
        <v>A</v>
      </c>
      <c r="F22" s="2" t="n">
        <f aca="false">DATE(2024,7,5)-DATE(2024,7,1)+1</f>
        <v>5</v>
      </c>
      <c r="G22" s="4" t="n">
        <f aca="false">COUNTIFS(List3!$A:$A,A22,List3!$C:$C,"Yes")</f>
        <v>3</v>
      </c>
      <c r="H22" s="5" t="n">
        <f aca="false">ROUND(G22/F22,4)</f>
        <v>0.6</v>
      </c>
      <c r="I22" s="2" t="str">
        <f aca="false">IF(OR(E22="A",E22="B",E22="C"),IF(H22&gt;=0.8,"Met","Not Met"),IF(H22&gt;=0.4,"Met","Not Met"))</f>
        <v>Not Met</v>
      </c>
    </row>
    <row r="23" customFormat="false" ht="15" hidden="false" customHeight="false" outlineLevel="0" collapsed="false">
      <c r="A23" s="2" t="s">
        <v>39</v>
      </c>
      <c r="B23" s="3" t="n">
        <v>45474</v>
      </c>
      <c r="C23" s="2" t="str">
        <f aca="false">INDEX(List1!$B:$B,MATCH(A23,List1!$A:$A,0))</f>
        <v>attendee22@company.com</v>
      </c>
      <c r="D23" s="2" t="str">
        <f aca="false">INDEX(List2!$B:$B,MATCH(A23,List2!$A:$A,0))</f>
        <v>Sales</v>
      </c>
      <c r="E23" s="2" t="str">
        <f aca="false">INDEX(List2!$E:$E,MATCH(D23,List2!$D:$D,0))</f>
        <v>B</v>
      </c>
      <c r="F23" s="2" t="n">
        <f aca="false">DATE(2024,7,5)-DATE(2024,7,1)+1</f>
        <v>5</v>
      </c>
      <c r="G23" s="4" t="n">
        <f aca="false">COUNTIFS(List3!$A:$A,A23,List3!$C:$C,"Yes")</f>
        <v>1</v>
      </c>
      <c r="H23" s="5" t="n">
        <f aca="false">ROUND(G23/F23,4)</f>
        <v>0.2</v>
      </c>
      <c r="I23" s="2" t="str">
        <f aca="false">IF(OR(E23="A",E23="B",E23="C"),IF(H23&gt;=0.8,"Met","Not Met"),IF(H23&gt;=0.4,"Met","Not Met"))</f>
        <v>Not Met</v>
      </c>
    </row>
    <row r="24" customFormat="false" ht="15" hidden="false" customHeight="false" outlineLevel="0" collapsed="false">
      <c r="A24" s="2" t="s">
        <v>40</v>
      </c>
      <c r="B24" s="3" t="n">
        <v>45474</v>
      </c>
      <c r="C24" s="2" t="str">
        <f aca="false">INDEX(List1!$B:$B,MATCH(A24,List1!$A:$A,0))</f>
        <v>attendee23@company.com</v>
      </c>
      <c r="D24" s="2" t="str">
        <f aca="false">INDEX(List2!$B:$B,MATCH(A24,List2!$A:$A,0))</f>
        <v>HR</v>
      </c>
      <c r="E24" s="2" t="str">
        <f aca="false">INDEX(List2!$E:$E,MATCH(D24,List2!$D:$D,0))</f>
        <v>C</v>
      </c>
      <c r="F24" s="2" t="n">
        <f aca="false">DATE(2024,7,5)-DATE(2024,7,1)+1</f>
        <v>5</v>
      </c>
      <c r="G24" s="4" t="n">
        <f aca="false">COUNTIFS(List3!$A:$A,A24,List3!$C:$C,"Yes")</f>
        <v>3</v>
      </c>
      <c r="H24" s="5" t="n">
        <f aca="false">ROUND(G24/F24,4)</f>
        <v>0.6</v>
      </c>
      <c r="I24" s="2" t="str">
        <f aca="false">IF(OR(E24="A",E24="B",E24="C"),IF(H24&gt;=0.8,"Met","Not Met"),IF(H24&gt;=0.4,"Met","Not Met"))</f>
        <v>Not Met</v>
      </c>
    </row>
    <row r="25" customFormat="false" ht="15" hidden="false" customHeight="false" outlineLevel="0" collapsed="false">
      <c r="A25" s="2" t="s">
        <v>41</v>
      </c>
      <c r="B25" s="3" t="n">
        <v>45474</v>
      </c>
      <c r="C25" s="2" t="str">
        <f aca="false">INDEX(List1!$B:$B,MATCH(A25,List1!$A:$A,0))</f>
        <v>attendee24@company.com</v>
      </c>
      <c r="D25" s="2" t="str">
        <f aca="false">INDEX(List2!$B:$B,MATCH(A25,List2!$A:$A,0))</f>
        <v>IT</v>
      </c>
      <c r="E25" s="2" t="str">
        <f aca="false">INDEX(List2!$E:$E,MATCH(D25,List2!$D:$D,0))</f>
        <v>D</v>
      </c>
      <c r="F25" s="2" t="n">
        <f aca="false">DATE(2024,7,5)-DATE(2024,7,1)+1</f>
        <v>5</v>
      </c>
      <c r="G25" s="4" t="n">
        <f aca="false">COUNTIFS(List3!$A:$A,A25,List3!$C:$C,"Yes")</f>
        <v>2</v>
      </c>
      <c r="H25" s="5" t="n">
        <f aca="false">ROUND(G25/F25,4)</f>
        <v>0.4</v>
      </c>
      <c r="I25" s="2" t="str">
        <f aca="false">IF(OR(E25="A",E25="B",E25="C"),IF(H25&gt;=0.8,"Met","Not Met"),IF(H25&gt;=0.4,"Met","Not Met"))</f>
        <v>Met</v>
      </c>
    </row>
    <row r="26" customFormat="false" ht="15" hidden="false" customHeight="false" outlineLevel="0" collapsed="false">
      <c r="A26" s="2" t="s">
        <v>42</v>
      </c>
      <c r="B26" s="3" t="n">
        <v>45474</v>
      </c>
      <c r="C26" s="2" t="str">
        <f aca="false">INDEX(List1!$B:$B,MATCH(A26,List1!$A:$A,0))</f>
        <v>attendee25@company.com</v>
      </c>
      <c r="D26" s="2" t="str">
        <f aca="false">INDEX(List2!$B:$B,MATCH(A26,List2!$A:$A,0))</f>
        <v>Finance</v>
      </c>
      <c r="E26" s="2" t="str">
        <f aca="false">INDEX(List2!$E:$E,MATCH(D26,List2!$D:$D,0))</f>
        <v>E</v>
      </c>
      <c r="F26" s="2" t="n">
        <f aca="false">DATE(2024,7,5)-DATE(2024,7,1)+1</f>
        <v>5</v>
      </c>
      <c r="G26" s="4" t="n">
        <f aca="false">COUNTIFS(List3!$A:$A,A26,List3!$C:$C,"Yes")</f>
        <v>2</v>
      </c>
      <c r="H26" s="5" t="n">
        <f aca="false">ROUND(G26/F26,4)</f>
        <v>0.4</v>
      </c>
      <c r="I26" s="2" t="str">
        <f aca="false">IF(OR(E26="A",E26="B",E26="C"),IF(H26&gt;=0.8,"Met","Not Met"),IF(H26&gt;=0.4,"Met","Not Met"))</f>
        <v>Met</v>
      </c>
    </row>
    <row r="27" customFormat="false" ht="15" hidden="false" customHeight="false" outlineLevel="0" collapsed="false">
      <c r="A27" s="2" t="s">
        <v>43</v>
      </c>
      <c r="B27" s="3" t="n">
        <v>45474</v>
      </c>
      <c r="C27" s="2" t="str">
        <f aca="false">INDEX(List1!$B:$B,MATCH(A27,List1!$A:$A,0))</f>
        <v>attendee26@company.com</v>
      </c>
      <c r="D27" s="2" t="str">
        <f aca="false">INDEX(List2!$B:$B,MATCH(A27,List2!$A:$A,0))</f>
        <v>Marketing</v>
      </c>
      <c r="E27" s="2" t="str">
        <f aca="false">INDEX(List2!$E:$E,MATCH(D27,List2!$D:$D,0))</f>
        <v>A</v>
      </c>
      <c r="F27" s="2" t="n">
        <f aca="false">DATE(2024,7,5)-DATE(2024,7,1)+1</f>
        <v>5</v>
      </c>
      <c r="G27" s="4" t="n">
        <f aca="false">COUNTIFS(List3!$A:$A,A27,List3!$C:$C,"Yes")</f>
        <v>2</v>
      </c>
      <c r="H27" s="5" t="n">
        <f aca="false">ROUND(G27/F27,4)</f>
        <v>0.4</v>
      </c>
      <c r="I27" s="2" t="str">
        <f aca="false">IF(OR(E27="A",E27="B",E27="C"),IF(H27&gt;=0.8,"Met","Not Met"),IF(H27&gt;=0.4,"Met","Not Met"))</f>
        <v>Not Met</v>
      </c>
    </row>
    <row r="28" customFormat="false" ht="15" hidden="false" customHeight="false" outlineLevel="0" collapsed="false">
      <c r="A28" s="2" t="s">
        <v>44</v>
      </c>
      <c r="B28" s="3" t="n">
        <v>45474</v>
      </c>
      <c r="C28" s="2" t="str">
        <f aca="false">INDEX(List1!$B:$B,MATCH(A28,List1!$A:$A,0))</f>
        <v>attendee27@company.com</v>
      </c>
      <c r="D28" s="2" t="str">
        <f aca="false">INDEX(List2!$B:$B,MATCH(A28,List2!$A:$A,0))</f>
        <v>Sales</v>
      </c>
      <c r="E28" s="2" t="str">
        <f aca="false">INDEX(List2!$E:$E,MATCH(D28,List2!$D:$D,0))</f>
        <v>B</v>
      </c>
      <c r="F28" s="2" t="n">
        <f aca="false">DATE(2024,7,5)-DATE(2024,7,1)+1</f>
        <v>5</v>
      </c>
      <c r="G28" s="4" t="n">
        <f aca="false">COUNTIFS(List3!$A:$A,A28,List3!$C:$C,"Yes")</f>
        <v>4</v>
      </c>
      <c r="H28" s="5" t="n">
        <f aca="false">ROUND(G28/F28,4)</f>
        <v>0.8</v>
      </c>
      <c r="I28" s="2" t="str">
        <f aca="false">IF(OR(E28="A",E28="B",E28="C"),IF(H28&gt;=0.8,"Met","Not Met"),IF(H28&gt;=0.4,"Met","Not Met"))</f>
        <v>Met</v>
      </c>
    </row>
    <row r="29" customFormat="false" ht="15" hidden="false" customHeight="false" outlineLevel="0" collapsed="false">
      <c r="A29" s="2" t="s">
        <v>45</v>
      </c>
      <c r="B29" s="3" t="n">
        <v>45474</v>
      </c>
      <c r="C29" s="2" t="str">
        <f aca="false">INDEX(List1!$B:$B,MATCH(A29,List1!$A:$A,0))</f>
        <v>attendee28@company.com</v>
      </c>
      <c r="D29" s="2" t="str">
        <f aca="false">INDEX(List2!$B:$B,MATCH(A29,List2!$A:$A,0))</f>
        <v>HR</v>
      </c>
      <c r="E29" s="2" t="str">
        <f aca="false">INDEX(List2!$E:$E,MATCH(D29,List2!$D:$D,0))</f>
        <v>C</v>
      </c>
      <c r="F29" s="2" t="n">
        <f aca="false">DATE(2024,7,5)-DATE(2024,7,1)+1</f>
        <v>5</v>
      </c>
      <c r="G29" s="4" t="n">
        <f aca="false">COUNTIFS(List3!$A:$A,A29,List3!$C:$C,"Yes")</f>
        <v>0</v>
      </c>
      <c r="H29" s="5" t="n">
        <f aca="false">ROUND(G29/F29,4)</f>
        <v>0</v>
      </c>
      <c r="I29" s="2" t="str">
        <f aca="false">IF(OR(E29="A",E29="B",E29="C"),IF(H29&gt;=0.8,"Met","Not Met"),IF(H29&gt;=0.4,"Met","Not Met"))</f>
        <v>Not Met</v>
      </c>
    </row>
    <row r="30" customFormat="false" ht="15" hidden="false" customHeight="false" outlineLevel="0" collapsed="false">
      <c r="A30" s="2" t="s">
        <v>46</v>
      </c>
      <c r="B30" s="3" t="n">
        <v>45474</v>
      </c>
      <c r="C30" s="2" t="str">
        <f aca="false">INDEX(List1!$B:$B,MATCH(A30,List1!$A:$A,0))</f>
        <v>attendee29@company.com</v>
      </c>
      <c r="D30" s="2" t="str">
        <f aca="false">INDEX(List2!$B:$B,MATCH(A30,List2!$A:$A,0))</f>
        <v>IT</v>
      </c>
      <c r="E30" s="2" t="str">
        <f aca="false">INDEX(List2!$E:$E,MATCH(D30,List2!$D:$D,0))</f>
        <v>D</v>
      </c>
      <c r="F30" s="2" t="n">
        <f aca="false">DATE(2024,7,5)-DATE(2024,7,1)+1</f>
        <v>5</v>
      </c>
      <c r="G30" s="4" t="n">
        <f aca="false">COUNTIFS(List3!$A:$A,A30,List3!$C:$C,"Yes")</f>
        <v>3</v>
      </c>
      <c r="H30" s="5" t="n">
        <f aca="false">ROUND(G30/F30,4)</f>
        <v>0.6</v>
      </c>
      <c r="I30" s="2" t="str">
        <f aca="false">IF(OR(E30="A",E30="B",E30="C"),IF(H30&gt;=0.8,"Met","Not Met"),IF(H30&gt;=0.4,"Met","Not Met"))</f>
        <v>Met</v>
      </c>
    </row>
    <row r="31" customFormat="false" ht="15" hidden="false" customHeight="false" outlineLevel="0" collapsed="false">
      <c r="A31" s="2" t="s">
        <v>47</v>
      </c>
      <c r="B31" s="3" t="n">
        <v>45474</v>
      </c>
      <c r="C31" s="2" t="str">
        <f aca="false">INDEX(List1!$B:$B,MATCH(A31,List1!$A:$A,0))</f>
        <v>attendee30@company.com</v>
      </c>
      <c r="D31" s="2" t="str">
        <f aca="false">INDEX(List2!$B:$B,MATCH(A31,List2!$A:$A,0))</f>
        <v>Finance</v>
      </c>
      <c r="E31" s="2" t="str">
        <f aca="false">INDEX(List2!$E:$E,MATCH(D31,List2!$D:$D,0))</f>
        <v>E</v>
      </c>
      <c r="F31" s="2" t="n">
        <f aca="false">DATE(2024,7,5)-DATE(2024,7,1)+1</f>
        <v>5</v>
      </c>
      <c r="G31" s="4" t="n">
        <f aca="false">COUNTIFS(List3!$A:$A,A31,List3!$C:$C,"Yes")</f>
        <v>4</v>
      </c>
      <c r="H31" s="5" t="n">
        <f aca="false">ROUND(G31/F31,4)</f>
        <v>0.8</v>
      </c>
      <c r="I31" s="2" t="str">
        <f aca="false">IF(OR(E31="A",E31="B",E31="C"),IF(H31&gt;=0.8,"Met","Not Met"),IF(H31&gt;=0.4,"Met","Not Met"))</f>
        <v>Met</v>
      </c>
    </row>
    <row r="32" customFormat="false" ht="15" hidden="false" customHeight="false" outlineLevel="0" collapsed="false">
      <c r="A32" s="2" t="s">
        <v>48</v>
      </c>
      <c r="B32" s="3" t="n">
        <v>45474</v>
      </c>
      <c r="C32" s="2" t="str">
        <f aca="false">INDEX(List1!$B:$B,MATCH(A32,List1!$A:$A,0))</f>
        <v>attendee31@company.com</v>
      </c>
      <c r="D32" s="2" t="str">
        <f aca="false">INDEX(List2!$B:$B,MATCH(A32,List2!$A:$A,0))</f>
        <v>Marketing</v>
      </c>
      <c r="E32" s="2" t="str">
        <f aca="false">INDEX(List2!$E:$E,MATCH(D32,List2!$D:$D,0))</f>
        <v>A</v>
      </c>
      <c r="F32" s="2" t="n">
        <f aca="false">DATE(2024,7,5)-DATE(2024,7,1)+1</f>
        <v>5</v>
      </c>
      <c r="G32" s="4" t="n">
        <f aca="false">COUNTIFS(List3!$A:$A,A32,List3!$C:$C,"Yes")</f>
        <v>2</v>
      </c>
      <c r="H32" s="5" t="n">
        <f aca="false">ROUND(G32/F32,4)</f>
        <v>0.4</v>
      </c>
      <c r="I32" s="2" t="str">
        <f aca="false">IF(OR(E32="A",E32="B",E32="C"),IF(H32&gt;=0.8,"Met","Not Met"),IF(H32&gt;=0.4,"Met","Not Met"))</f>
        <v>Not Met</v>
      </c>
    </row>
    <row r="33" customFormat="false" ht="15" hidden="false" customHeight="false" outlineLevel="0" collapsed="false">
      <c r="A33" s="2" t="s">
        <v>49</v>
      </c>
      <c r="B33" s="3" t="n">
        <v>45474</v>
      </c>
      <c r="C33" s="2" t="str">
        <f aca="false">INDEX(List1!$B:$B,MATCH(A33,List1!$A:$A,0))</f>
        <v>attendee32@company.com</v>
      </c>
      <c r="D33" s="2" t="str">
        <f aca="false">INDEX(List2!$B:$B,MATCH(A33,List2!$A:$A,0))</f>
        <v>Sales</v>
      </c>
      <c r="E33" s="2" t="str">
        <f aca="false">INDEX(List2!$E:$E,MATCH(D33,List2!$D:$D,0))</f>
        <v>B</v>
      </c>
      <c r="F33" s="2" t="n">
        <f aca="false">DATE(2024,7,5)-DATE(2024,7,1)+1</f>
        <v>5</v>
      </c>
      <c r="G33" s="4" t="n">
        <f aca="false">COUNTIFS(List3!$A:$A,A33,List3!$C:$C,"Yes")</f>
        <v>2</v>
      </c>
      <c r="H33" s="5" t="n">
        <f aca="false">ROUND(G33/F33,4)</f>
        <v>0.4</v>
      </c>
      <c r="I33" s="2" t="str">
        <f aca="false">IF(OR(E33="A",E33="B",E33="C"),IF(H33&gt;=0.8,"Met","Not Met"),IF(H33&gt;=0.4,"Met","Not Met"))</f>
        <v>Not Met</v>
      </c>
    </row>
    <row r="34" customFormat="false" ht="15" hidden="false" customHeight="false" outlineLevel="0" collapsed="false">
      <c r="A34" s="2" t="s">
        <v>50</v>
      </c>
      <c r="B34" s="3" t="n">
        <v>45474</v>
      </c>
      <c r="C34" s="2" t="str">
        <f aca="false">INDEX(List1!$B:$B,MATCH(A34,List1!$A:$A,0))</f>
        <v>attendee33@company.com</v>
      </c>
      <c r="D34" s="2" t="str">
        <f aca="false">INDEX(List2!$B:$B,MATCH(A34,List2!$A:$A,0))</f>
        <v>HR</v>
      </c>
      <c r="E34" s="2" t="str">
        <f aca="false">INDEX(List2!$E:$E,MATCH(D34,List2!$D:$D,0))</f>
        <v>C</v>
      </c>
      <c r="F34" s="2" t="n">
        <f aca="false">DATE(2024,7,5)-DATE(2024,7,1)+1</f>
        <v>5</v>
      </c>
      <c r="G34" s="4" t="n">
        <f aca="false">COUNTIFS(List3!$A:$A,A34,List3!$C:$C,"Yes")</f>
        <v>5</v>
      </c>
      <c r="H34" s="5" t="n">
        <f aca="false">ROUND(G34/F34,4)</f>
        <v>1</v>
      </c>
      <c r="I34" s="2" t="str">
        <f aca="false">IF(OR(E34="A",E34="B",E34="C"),IF(H34&gt;=0.8,"Met","Not Met"),IF(H34&gt;=0.4,"Met","Not Met"))</f>
        <v>Met</v>
      </c>
    </row>
    <row r="35" customFormat="false" ht="15" hidden="false" customHeight="false" outlineLevel="0" collapsed="false">
      <c r="A35" s="2" t="s">
        <v>51</v>
      </c>
      <c r="B35" s="3" t="n">
        <v>45474</v>
      </c>
      <c r="C35" s="2" t="str">
        <f aca="false">INDEX(List1!$B:$B,MATCH(A35,List1!$A:$A,0))</f>
        <v>attendee34@company.com</v>
      </c>
      <c r="D35" s="2" t="str">
        <f aca="false">INDEX(List2!$B:$B,MATCH(A35,List2!$A:$A,0))</f>
        <v>IT</v>
      </c>
      <c r="E35" s="2" t="str">
        <f aca="false">INDEX(List2!$E:$E,MATCH(D35,List2!$D:$D,0))</f>
        <v>D</v>
      </c>
      <c r="F35" s="2" t="n">
        <f aca="false">DATE(2024,7,5)-DATE(2024,7,1)+1</f>
        <v>5</v>
      </c>
      <c r="G35" s="4" t="n">
        <f aca="false">COUNTIFS(List3!$A:$A,A35,List3!$C:$C,"Yes")</f>
        <v>2</v>
      </c>
      <c r="H35" s="5" t="n">
        <f aca="false">ROUND(G35/F35,4)</f>
        <v>0.4</v>
      </c>
      <c r="I35" s="2" t="str">
        <f aca="false">IF(OR(E35="A",E35="B",E35="C"),IF(H35&gt;=0.8,"Met","Not Met"),IF(H35&gt;=0.4,"Met","Not Met"))</f>
        <v>Met</v>
      </c>
    </row>
    <row r="36" customFormat="false" ht="15" hidden="false" customHeight="false" outlineLevel="0" collapsed="false">
      <c r="A36" s="2" t="s">
        <v>52</v>
      </c>
      <c r="B36" s="3" t="n">
        <v>45474</v>
      </c>
      <c r="C36" s="2" t="str">
        <f aca="false">INDEX(List1!$B:$B,MATCH(A36,List1!$A:$A,0))</f>
        <v>attendee35@company.com</v>
      </c>
      <c r="D36" s="2" t="str">
        <f aca="false">INDEX(List2!$B:$B,MATCH(A36,List2!$A:$A,0))</f>
        <v>Finance</v>
      </c>
      <c r="E36" s="2" t="str">
        <f aca="false">INDEX(List2!$E:$E,MATCH(D36,List2!$D:$D,0))</f>
        <v>E</v>
      </c>
      <c r="F36" s="2" t="n">
        <f aca="false">DATE(2024,7,5)-DATE(2024,7,1)+1</f>
        <v>5</v>
      </c>
      <c r="G36" s="4" t="n">
        <f aca="false">COUNTIFS(List3!$A:$A,A36,List3!$C:$C,"Yes")</f>
        <v>3</v>
      </c>
      <c r="H36" s="5" t="n">
        <f aca="false">ROUND(G36/F36,4)</f>
        <v>0.6</v>
      </c>
      <c r="I36" s="2" t="str">
        <f aca="false">IF(OR(E36="A",E36="B",E36="C"),IF(H36&gt;=0.8,"Met","Not Met"),IF(H36&gt;=0.4,"Met","Not Met"))</f>
        <v>Met</v>
      </c>
    </row>
    <row r="37" customFormat="false" ht="15" hidden="false" customHeight="false" outlineLevel="0" collapsed="false">
      <c r="A37" s="2" t="s">
        <v>53</v>
      </c>
      <c r="B37" s="3" t="n">
        <v>45474</v>
      </c>
      <c r="C37" s="2" t="str">
        <f aca="false">INDEX(List1!$B:$B,MATCH(A37,List1!$A:$A,0))</f>
        <v>attendee36@company.com</v>
      </c>
      <c r="D37" s="2" t="str">
        <f aca="false">INDEX(List2!$B:$B,MATCH(A37,List2!$A:$A,0))</f>
        <v>Marketing</v>
      </c>
      <c r="E37" s="2" t="str">
        <f aca="false">INDEX(List2!$E:$E,MATCH(D37,List2!$D:$D,0))</f>
        <v>A</v>
      </c>
      <c r="F37" s="2" t="n">
        <f aca="false">DATE(2024,7,5)-DATE(2024,7,1)+1</f>
        <v>5</v>
      </c>
      <c r="G37" s="4" t="n">
        <f aca="false">COUNTIFS(List3!$A:$A,A37,List3!$C:$C,"Yes")</f>
        <v>3</v>
      </c>
      <c r="H37" s="5" t="n">
        <f aca="false">ROUND(G37/F37,4)</f>
        <v>0.6</v>
      </c>
      <c r="I37" s="2" t="str">
        <f aca="false">IF(OR(E37="A",E37="B",E37="C"),IF(H37&gt;=0.8,"Met","Not Met"),IF(H37&gt;=0.4,"Met","Not Met"))</f>
        <v>Not Met</v>
      </c>
    </row>
    <row r="38" customFormat="false" ht="15" hidden="false" customHeight="false" outlineLevel="0" collapsed="false">
      <c r="A38" s="2" t="s">
        <v>54</v>
      </c>
      <c r="B38" s="3" t="n">
        <v>45474</v>
      </c>
      <c r="C38" s="2" t="str">
        <f aca="false">INDEX(List1!$B:$B,MATCH(A38,List1!$A:$A,0))</f>
        <v>attendee37@company.com</v>
      </c>
      <c r="D38" s="2" t="str">
        <f aca="false">INDEX(List2!$B:$B,MATCH(A38,List2!$A:$A,0))</f>
        <v>Sales</v>
      </c>
      <c r="E38" s="2" t="str">
        <f aca="false">INDEX(List2!$E:$E,MATCH(D38,List2!$D:$D,0))</f>
        <v>B</v>
      </c>
      <c r="F38" s="2" t="n">
        <f aca="false">DATE(2024,7,5)-DATE(2024,7,1)+1</f>
        <v>5</v>
      </c>
      <c r="G38" s="4" t="n">
        <f aca="false">COUNTIFS(List3!$A:$A,A38,List3!$C:$C,"Yes")</f>
        <v>4</v>
      </c>
      <c r="H38" s="5" t="n">
        <f aca="false">ROUND(G38/F38,4)</f>
        <v>0.8</v>
      </c>
      <c r="I38" s="2" t="str">
        <f aca="false">IF(OR(E38="A",E38="B",E38="C"),IF(H38&gt;=0.8,"Met","Not Met"),IF(H38&gt;=0.4,"Met","Not Met"))</f>
        <v>Met</v>
      </c>
    </row>
    <row r="39" customFormat="false" ht="15" hidden="false" customHeight="false" outlineLevel="0" collapsed="false">
      <c r="A39" s="2" t="s">
        <v>55</v>
      </c>
      <c r="B39" s="3" t="n">
        <v>45474</v>
      </c>
      <c r="C39" s="2" t="str">
        <f aca="false">INDEX(List1!$B:$B,MATCH(A39,List1!$A:$A,0))</f>
        <v>attendee38@company.com</v>
      </c>
      <c r="D39" s="2" t="str">
        <f aca="false">INDEX(List2!$B:$B,MATCH(A39,List2!$A:$A,0))</f>
        <v>HR</v>
      </c>
      <c r="E39" s="2" t="str">
        <f aca="false">INDEX(List2!$E:$E,MATCH(D39,List2!$D:$D,0))</f>
        <v>C</v>
      </c>
      <c r="F39" s="2" t="n">
        <f aca="false">DATE(2024,7,5)-DATE(2024,7,1)+1</f>
        <v>5</v>
      </c>
      <c r="G39" s="4" t="n">
        <f aca="false">COUNTIFS(List3!$A:$A,A39,List3!$C:$C,"Yes")</f>
        <v>3</v>
      </c>
      <c r="H39" s="5" t="n">
        <f aca="false">ROUND(G39/F39,4)</f>
        <v>0.6</v>
      </c>
      <c r="I39" s="2" t="str">
        <f aca="false">IF(OR(E39="A",E39="B",E39="C"),IF(H39&gt;=0.8,"Met","Not Met"),IF(H39&gt;=0.4,"Met","Not Met"))</f>
        <v>Not Met</v>
      </c>
    </row>
    <row r="40" customFormat="false" ht="15" hidden="false" customHeight="false" outlineLevel="0" collapsed="false">
      <c r="A40" s="2" t="s">
        <v>56</v>
      </c>
      <c r="B40" s="3" t="n">
        <v>45474</v>
      </c>
      <c r="C40" s="2" t="str">
        <f aca="false">INDEX(List1!$B:$B,MATCH(A40,List1!$A:$A,0))</f>
        <v>attendee39@company.com</v>
      </c>
      <c r="D40" s="2" t="str">
        <f aca="false">INDEX(List2!$B:$B,MATCH(A40,List2!$A:$A,0))</f>
        <v>IT</v>
      </c>
      <c r="E40" s="2" t="str">
        <f aca="false">INDEX(List2!$E:$E,MATCH(D40,List2!$D:$D,0))</f>
        <v>D</v>
      </c>
      <c r="F40" s="2" t="n">
        <f aca="false">DATE(2024,7,5)-DATE(2024,7,1)+1</f>
        <v>5</v>
      </c>
      <c r="G40" s="4" t="n">
        <f aca="false">COUNTIFS(List3!$A:$A,A40,List3!$C:$C,"Yes")</f>
        <v>4</v>
      </c>
      <c r="H40" s="5" t="n">
        <f aca="false">ROUND(G40/F40,4)</f>
        <v>0.8</v>
      </c>
      <c r="I40" s="2" t="str">
        <f aca="false">IF(OR(E40="A",E40="B",E40="C"),IF(H40&gt;=0.8,"Met","Not Met"),IF(H40&gt;=0.4,"Met","Not Met"))</f>
        <v>Met</v>
      </c>
    </row>
    <row r="41" customFormat="false" ht="15" hidden="false" customHeight="false" outlineLevel="0" collapsed="false">
      <c r="A41" s="2" t="s">
        <v>57</v>
      </c>
      <c r="B41" s="3" t="n">
        <v>45474</v>
      </c>
      <c r="C41" s="2" t="str">
        <f aca="false">INDEX(List1!$B:$B,MATCH(A41,List1!$A:$A,0))</f>
        <v>attendee40@company.com</v>
      </c>
      <c r="D41" s="2" t="str">
        <f aca="false">INDEX(List2!$B:$B,MATCH(A41,List2!$A:$A,0))</f>
        <v>Finance</v>
      </c>
      <c r="E41" s="2" t="str">
        <f aca="false">INDEX(List2!$E:$E,MATCH(D41,List2!$D:$D,0))</f>
        <v>E</v>
      </c>
      <c r="F41" s="2" t="n">
        <f aca="false">DATE(2024,7,5)-DATE(2024,7,1)+1</f>
        <v>5</v>
      </c>
      <c r="G41" s="4" t="n">
        <f aca="false">COUNTIFS(List3!$A:$A,A41,List3!$C:$C,"Yes")</f>
        <v>1</v>
      </c>
      <c r="H41" s="5" t="n">
        <f aca="false">ROUND(G41/F41,4)</f>
        <v>0.2</v>
      </c>
      <c r="I41" s="2" t="str">
        <f aca="false">IF(OR(E41="A",E41="B",E41="C"),IF(H41&gt;=0.8,"Met","Not Met"),IF(H41&gt;=0.4,"Met","Not Met"))</f>
        <v>Not Met</v>
      </c>
    </row>
    <row r="42" customFormat="false" ht="15" hidden="false" customHeight="false" outlineLevel="0" collapsed="false">
      <c r="A42" s="2" t="s">
        <v>58</v>
      </c>
      <c r="B42" s="3" t="n">
        <v>45474</v>
      </c>
      <c r="C42" s="2" t="str">
        <f aca="false">INDEX(List1!$B:$B,MATCH(A42,List1!$A:$A,0))</f>
        <v>attendee41@company.com</v>
      </c>
      <c r="D42" s="2" t="str">
        <f aca="false">INDEX(List2!$B:$B,MATCH(A42,List2!$A:$A,0))</f>
        <v>Marketing</v>
      </c>
      <c r="E42" s="2" t="str">
        <f aca="false">INDEX(List2!$E:$E,MATCH(D42,List2!$D:$D,0))</f>
        <v>A</v>
      </c>
      <c r="F42" s="2" t="n">
        <f aca="false">DATE(2024,7,5)-DATE(2024,7,1)+1</f>
        <v>5</v>
      </c>
      <c r="G42" s="4" t="n">
        <f aca="false">COUNTIFS(List3!$A:$A,A42,List3!$C:$C,"Yes")</f>
        <v>4</v>
      </c>
      <c r="H42" s="5" t="n">
        <f aca="false">ROUND(G42/F42,4)</f>
        <v>0.8</v>
      </c>
      <c r="I42" s="2" t="str">
        <f aca="false">IF(OR(E42="A",E42="B",E42="C"),IF(H42&gt;=0.8,"Met","Not Met"),IF(H42&gt;=0.4,"Met","Not Met"))</f>
        <v>Met</v>
      </c>
    </row>
    <row r="43" customFormat="false" ht="15" hidden="false" customHeight="false" outlineLevel="0" collapsed="false">
      <c r="A43" s="2" t="s">
        <v>59</v>
      </c>
      <c r="B43" s="3" t="n">
        <v>45474</v>
      </c>
      <c r="C43" s="2" t="str">
        <f aca="false">INDEX(List1!$B:$B,MATCH(A43,List1!$A:$A,0))</f>
        <v>attendee42@company.com</v>
      </c>
      <c r="D43" s="2" t="str">
        <f aca="false">INDEX(List2!$B:$B,MATCH(A43,List2!$A:$A,0))</f>
        <v>Sales</v>
      </c>
      <c r="E43" s="2" t="str">
        <f aca="false">INDEX(List2!$E:$E,MATCH(D43,List2!$D:$D,0))</f>
        <v>B</v>
      </c>
      <c r="F43" s="2" t="n">
        <f aca="false">DATE(2024,7,5)-DATE(2024,7,1)+1</f>
        <v>5</v>
      </c>
      <c r="G43" s="4" t="n">
        <f aca="false">COUNTIFS(List3!$A:$A,A43,List3!$C:$C,"Yes")</f>
        <v>1</v>
      </c>
      <c r="H43" s="5" t="n">
        <f aca="false">ROUND(G43/F43,4)</f>
        <v>0.2</v>
      </c>
      <c r="I43" s="2" t="str">
        <f aca="false">IF(OR(E43="A",E43="B",E43="C"),IF(H43&gt;=0.8,"Met","Not Met"),IF(H43&gt;=0.4,"Met","Not Met"))</f>
        <v>Not Met</v>
      </c>
    </row>
    <row r="44" customFormat="false" ht="15" hidden="false" customHeight="false" outlineLevel="0" collapsed="false">
      <c r="A44" s="2" t="s">
        <v>60</v>
      </c>
      <c r="B44" s="3" t="n">
        <v>45474</v>
      </c>
      <c r="C44" s="2" t="str">
        <f aca="false">INDEX(List1!$B:$B,MATCH(A44,List1!$A:$A,0))</f>
        <v>attendee43@company.com</v>
      </c>
      <c r="D44" s="2" t="str">
        <f aca="false">INDEX(List2!$B:$B,MATCH(A44,List2!$A:$A,0))</f>
        <v>HR</v>
      </c>
      <c r="E44" s="2" t="str">
        <f aca="false">INDEX(List2!$E:$E,MATCH(D44,List2!$D:$D,0))</f>
        <v>C</v>
      </c>
      <c r="F44" s="2" t="n">
        <f aca="false">DATE(2024,7,5)-DATE(2024,7,1)+1</f>
        <v>5</v>
      </c>
      <c r="G44" s="4" t="n">
        <f aca="false">COUNTIFS(List3!$A:$A,A44,List3!$C:$C,"Yes")</f>
        <v>2</v>
      </c>
      <c r="H44" s="5" t="n">
        <f aca="false">ROUND(G44/F44,4)</f>
        <v>0.4</v>
      </c>
      <c r="I44" s="2" t="str">
        <f aca="false">IF(OR(E44="A",E44="B",E44="C"),IF(H44&gt;=0.8,"Met","Not Met"),IF(H44&gt;=0.4,"Met","Not Met"))</f>
        <v>Not Met</v>
      </c>
    </row>
    <row r="45" customFormat="false" ht="15" hidden="false" customHeight="false" outlineLevel="0" collapsed="false">
      <c r="A45" s="2" t="s">
        <v>61</v>
      </c>
      <c r="B45" s="3" t="n">
        <v>45474</v>
      </c>
      <c r="C45" s="2" t="str">
        <f aca="false">INDEX(List1!$B:$B,MATCH(A45,List1!$A:$A,0))</f>
        <v>attendee44@company.com</v>
      </c>
      <c r="D45" s="2" t="str">
        <f aca="false">INDEX(List2!$B:$B,MATCH(A45,List2!$A:$A,0))</f>
        <v>IT</v>
      </c>
      <c r="E45" s="2" t="str">
        <f aca="false">INDEX(List2!$E:$E,MATCH(D45,List2!$D:$D,0))</f>
        <v>D</v>
      </c>
      <c r="F45" s="2" t="n">
        <f aca="false">DATE(2024,7,5)-DATE(2024,7,1)+1</f>
        <v>5</v>
      </c>
      <c r="G45" s="4" t="n">
        <f aca="false">COUNTIFS(List3!$A:$A,A45,List3!$C:$C,"Yes")</f>
        <v>2</v>
      </c>
      <c r="H45" s="5" t="n">
        <f aca="false">ROUND(G45/F45,4)</f>
        <v>0.4</v>
      </c>
      <c r="I45" s="2" t="str">
        <f aca="false">IF(OR(E45="A",E45="B",E45="C"),IF(H45&gt;=0.8,"Met","Not Met"),IF(H45&gt;=0.4,"Met","Not Met"))</f>
        <v>Met</v>
      </c>
    </row>
    <row r="46" customFormat="false" ht="15" hidden="false" customHeight="false" outlineLevel="0" collapsed="false">
      <c r="A46" s="2" t="s">
        <v>62</v>
      </c>
      <c r="B46" s="3" t="n">
        <v>45474</v>
      </c>
      <c r="C46" s="2" t="str">
        <f aca="false">INDEX(List1!$B:$B,MATCH(A46,List1!$A:$A,0))</f>
        <v>attendee45@company.com</v>
      </c>
      <c r="D46" s="2" t="str">
        <f aca="false">INDEX(List2!$B:$B,MATCH(A46,List2!$A:$A,0))</f>
        <v>Finance</v>
      </c>
      <c r="E46" s="2" t="str">
        <f aca="false">INDEX(List2!$E:$E,MATCH(D46,List2!$D:$D,0))</f>
        <v>E</v>
      </c>
      <c r="F46" s="2" t="n">
        <f aca="false">DATE(2024,7,5)-DATE(2024,7,1)+1</f>
        <v>5</v>
      </c>
      <c r="G46" s="4" t="n">
        <f aca="false">COUNTIFS(List3!$A:$A,A46,List3!$C:$C,"Yes")</f>
        <v>3</v>
      </c>
      <c r="H46" s="5" t="n">
        <f aca="false">ROUND(G46/F46,4)</f>
        <v>0.6</v>
      </c>
      <c r="I46" s="2" t="str">
        <f aca="false">IF(OR(E46="A",E46="B",E46="C"),IF(H46&gt;=0.8,"Met","Not Met"),IF(H46&gt;=0.4,"Met","Not Met"))</f>
        <v>Met</v>
      </c>
    </row>
    <row r="47" customFormat="false" ht="15" hidden="false" customHeight="false" outlineLevel="0" collapsed="false">
      <c r="A47" s="2" t="s">
        <v>63</v>
      </c>
      <c r="B47" s="3" t="n">
        <v>45474</v>
      </c>
      <c r="C47" s="2" t="str">
        <f aca="false">INDEX(List1!$B:$B,MATCH(A47,List1!$A:$A,0))</f>
        <v>attendee46@company.com</v>
      </c>
      <c r="D47" s="2" t="str">
        <f aca="false">INDEX(List2!$B:$B,MATCH(A47,List2!$A:$A,0))</f>
        <v>Marketing</v>
      </c>
      <c r="E47" s="2" t="str">
        <f aca="false">INDEX(List2!$E:$E,MATCH(D47,List2!$D:$D,0))</f>
        <v>A</v>
      </c>
      <c r="F47" s="2" t="n">
        <f aca="false">DATE(2024,7,5)-DATE(2024,7,1)+1</f>
        <v>5</v>
      </c>
      <c r="G47" s="4" t="n">
        <f aca="false">COUNTIFS(List3!$A:$A,A47,List3!$C:$C,"Yes")</f>
        <v>2</v>
      </c>
      <c r="H47" s="5" t="n">
        <f aca="false">ROUND(G47/F47,4)</f>
        <v>0.4</v>
      </c>
      <c r="I47" s="2" t="str">
        <f aca="false">IF(OR(E47="A",E47="B",E47="C"),IF(H47&gt;=0.8,"Met","Not Met"),IF(H47&gt;=0.4,"Met","Not Met"))</f>
        <v>Not Met</v>
      </c>
    </row>
    <row r="48" customFormat="false" ht="15" hidden="false" customHeight="false" outlineLevel="0" collapsed="false">
      <c r="A48" s="2" t="s">
        <v>64</v>
      </c>
      <c r="B48" s="3" t="n">
        <v>45474</v>
      </c>
      <c r="C48" s="2" t="str">
        <f aca="false">INDEX(List1!$B:$B,MATCH(A48,List1!$A:$A,0))</f>
        <v>attendee47@company.com</v>
      </c>
      <c r="D48" s="2" t="str">
        <f aca="false">INDEX(List2!$B:$B,MATCH(A48,List2!$A:$A,0))</f>
        <v>Sales</v>
      </c>
      <c r="E48" s="2" t="str">
        <f aca="false">INDEX(List2!$E:$E,MATCH(D48,List2!$D:$D,0))</f>
        <v>B</v>
      </c>
      <c r="F48" s="2" t="n">
        <f aca="false">DATE(2024,7,5)-DATE(2024,7,1)+1</f>
        <v>5</v>
      </c>
      <c r="G48" s="4" t="n">
        <f aca="false">COUNTIFS(List3!$A:$A,A48,List3!$C:$C,"Yes")</f>
        <v>4</v>
      </c>
      <c r="H48" s="5" t="n">
        <f aca="false">ROUND(G48/F48,4)</f>
        <v>0.8</v>
      </c>
      <c r="I48" s="2" t="str">
        <f aca="false">IF(OR(E48="A",E48="B",E48="C"),IF(H48&gt;=0.8,"Met","Not Met"),IF(H48&gt;=0.4,"Met","Not Met"))</f>
        <v>Met</v>
      </c>
    </row>
    <row r="49" customFormat="false" ht="15" hidden="false" customHeight="false" outlineLevel="0" collapsed="false">
      <c r="A49" s="2" t="s">
        <v>65</v>
      </c>
      <c r="B49" s="3" t="n">
        <v>45474</v>
      </c>
      <c r="C49" s="2" t="str">
        <f aca="false">INDEX(List1!$B:$B,MATCH(A49,List1!$A:$A,0))</f>
        <v>attendee48@company.com</v>
      </c>
      <c r="D49" s="2" t="str">
        <f aca="false">INDEX(List2!$B:$B,MATCH(A49,List2!$A:$A,0))</f>
        <v>HR</v>
      </c>
      <c r="E49" s="2" t="str">
        <f aca="false">INDEX(List2!$E:$E,MATCH(D49,List2!$D:$D,0))</f>
        <v>C</v>
      </c>
      <c r="F49" s="2" t="n">
        <f aca="false">DATE(2024,7,5)-DATE(2024,7,1)+1</f>
        <v>5</v>
      </c>
      <c r="G49" s="4" t="n">
        <f aca="false">COUNTIFS(List3!$A:$A,A49,List3!$C:$C,"Yes")</f>
        <v>0</v>
      </c>
      <c r="H49" s="5" t="n">
        <f aca="false">ROUND(G49/F49,4)</f>
        <v>0</v>
      </c>
      <c r="I49" s="2" t="str">
        <f aca="false">IF(OR(E49="A",E49="B",E49="C"),IF(H49&gt;=0.8,"Met","Not Met"),IF(H49&gt;=0.4,"Met","Not Met"))</f>
        <v>Not Met</v>
      </c>
    </row>
    <row r="50" customFormat="false" ht="15" hidden="false" customHeight="false" outlineLevel="0" collapsed="false">
      <c r="A50" s="2" t="s">
        <v>66</v>
      </c>
      <c r="B50" s="3" t="n">
        <v>45474</v>
      </c>
      <c r="C50" s="2" t="str">
        <f aca="false">INDEX(List1!$B:$B,MATCH(A50,List1!$A:$A,0))</f>
        <v>attendee49@company.com</v>
      </c>
      <c r="D50" s="2" t="str">
        <f aca="false">INDEX(List2!$B:$B,MATCH(A50,List2!$A:$A,0))</f>
        <v>IT</v>
      </c>
      <c r="E50" s="2" t="str">
        <f aca="false">INDEX(List2!$E:$E,MATCH(D50,List2!$D:$D,0))</f>
        <v>D</v>
      </c>
      <c r="F50" s="2" t="n">
        <f aca="false">DATE(2024,7,5)-DATE(2024,7,1)+1</f>
        <v>5</v>
      </c>
      <c r="G50" s="4" t="n">
        <f aca="false">COUNTIFS(List3!$A:$A,A50,List3!$C:$C,"Yes")</f>
        <v>2</v>
      </c>
      <c r="H50" s="5" t="n">
        <f aca="false">ROUND(G50/F50,4)</f>
        <v>0.4</v>
      </c>
      <c r="I50" s="2" t="str">
        <f aca="false">IF(OR(E50="A",E50="B",E50="C"),IF(H50&gt;=0.8,"Met","Not Met"),IF(H50&gt;=0.4,"Met","Not Met"))</f>
        <v>Met</v>
      </c>
    </row>
    <row r="51" customFormat="false" ht="15" hidden="false" customHeight="false" outlineLevel="0" collapsed="false">
      <c r="A51" s="2" t="s">
        <v>67</v>
      </c>
      <c r="B51" s="3" t="n">
        <v>45474</v>
      </c>
      <c r="C51" s="2" t="str">
        <f aca="false">INDEX(List1!$B:$B,MATCH(A51,List1!$A:$A,0))</f>
        <v>attendee50@company.com</v>
      </c>
      <c r="D51" s="2" t="str">
        <f aca="false">INDEX(List2!$B:$B,MATCH(A51,List2!$A:$A,0))</f>
        <v>Finance</v>
      </c>
      <c r="E51" s="2" t="str">
        <f aca="false">INDEX(List2!$E:$E,MATCH(D51,List2!$D:$D,0))</f>
        <v>E</v>
      </c>
      <c r="F51" s="2" t="n">
        <f aca="false">DATE(2024,7,5)-DATE(2024,7,1)+1</f>
        <v>5</v>
      </c>
      <c r="G51" s="4" t="n">
        <f aca="false">COUNTIFS(List3!$A:$A,A51,List3!$C:$C,"Yes")</f>
        <v>1</v>
      </c>
      <c r="H51" s="5" t="n">
        <f aca="false">ROUND(G51/F51,4)</f>
        <v>0.2</v>
      </c>
      <c r="I51" s="2" t="str">
        <f aca="false">IF(OR(E51="A",E51="B",E51="C"),IF(H51&gt;=0.8,"Met","Not Met"),IF(H51&gt;=0.4,"Met","Not Met"))</f>
        <v>Not Met</v>
      </c>
    </row>
  </sheetData>
  <conditionalFormatting sqref="E2:E51">
    <cfRule type="expression" priority="2" aboveAverage="0" equalAverage="0" bottom="0" percent="0" rank="0" text="" dxfId="14">
      <formula>$E2="A"</formula>
    </cfRule>
    <cfRule type="expression" priority="3" aboveAverage="0" equalAverage="0" bottom="0" percent="0" rank="0" text="" dxfId="15">
      <formula>$E2="B"</formula>
    </cfRule>
    <cfRule type="expression" priority="4" aboveAverage="0" equalAverage="0" bottom="0" percent="0" rank="0" text="" dxfId="16">
      <formula>$E2="C"</formula>
    </cfRule>
    <cfRule type="expression" priority="5" aboveAverage="0" equalAverage="0" bottom="0" percent="0" rank="0" text="" dxfId="17">
      <formula>$E2="D"</formula>
    </cfRule>
    <cfRule type="expression" priority="6" aboveAverage="0" equalAverage="0" bottom="0" percent="0" rank="0" text="" dxfId="18">
      <formula>$E2="E"</formula>
    </cfRule>
  </conditionalFormatting>
  <conditionalFormatting sqref="G2:G51">
    <cfRule type="dataBar" priority="7">
      <dataBar showValue="1" minLength="10" maxLength="90">
        <cfvo type="min" val="0"/>
        <cfvo type="max" val="0"/>
        <color rgb="FF6FA8DC"/>
      </dataBar>
      <extLst>
        <ext xmlns:x14="http://schemas.microsoft.com/office/spreadsheetml/2009/9/main" uri="{B025F937-C7B1-47D3-B67F-A62EFF666E3E}">
          <x14:id>{1B58691C-8F26-4D6E-A436-B1609E22B988}</x14:id>
        </ext>
      </extLst>
    </cfRule>
  </conditionalFormatting>
  <conditionalFormatting sqref="H2:H51">
    <cfRule type="colorScale" priority="8">
      <colorScale>
        <cfvo type="min" val="0"/>
        <cfvo type="max" val="0"/>
        <color rgb="FFF4C7C3"/>
        <color rgb="FFC6E8C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8691C-8F26-4D6E-A436-B1609E22B988}">
            <x14:dataBar minLength="10" maxLength="90" axisPosition="none" gradient="true">
              <x14:cfvo type="min"/>
              <x14:cfvo type="max"/>
              <x14:negativeFillColor rgb="FF6FA8DC"/>
              <x14:axisColor rgb="FF000000"/>
            </x14:dataBar>
          </x14:cfRule>
          <xm:sqref>G2:G51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0</v>
      </c>
      <c r="B1" s="1" t="s">
        <v>2</v>
      </c>
    </row>
    <row r="2" customFormat="false" ht="15" hidden="false" customHeight="false" outlineLevel="0" collapsed="false">
      <c r="A2" s="2" t="s">
        <v>10</v>
      </c>
      <c r="B2" s="2" t="s">
        <v>68</v>
      </c>
    </row>
    <row r="3" customFormat="false" ht="15" hidden="false" customHeight="false" outlineLevel="0" collapsed="false">
      <c r="A3" s="2" t="s">
        <v>12</v>
      </c>
      <c r="B3" s="2" t="s">
        <v>69</v>
      </c>
    </row>
    <row r="4" customFormat="false" ht="15" hidden="false" customHeight="false" outlineLevel="0" collapsed="false">
      <c r="A4" s="2" t="s">
        <v>14</v>
      </c>
      <c r="B4" s="2" t="s">
        <v>70</v>
      </c>
    </row>
    <row r="5" customFormat="false" ht="15" hidden="false" customHeight="false" outlineLevel="0" collapsed="false">
      <c r="A5" s="2" t="s">
        <v>16</v>
      </c>
      <c r="B5" s="2" t="s">
        <v>71</v>
      </c>
    </row>
    <row r="6" customFormat="false" ht="15" hidden="false" customHeight="false" outlineLevel="0" collapsed="false">
      <c r="A6" s="2" t="s">
        <v>18</v>
      </c>
      <c r="B6" s="2" t="s">
        <v>72</v>
      </c>
    </row>
    <row r="7" customFormat="false" ht="15" hidden="false" customHeight="false" outlineLevel="0" collapsed="false">
      <c r="A7" s="2" t="s">
        <v>20</v>
      </c>
      <c r="B7" s="2" t="s">
        <v>73</v>
      </c>
    </row>
    <row r="8" customFormat="false" ht="15" hidden="false" customHeight="false" outlineLevel="0" collapsed="false">
      <c r="A8" s="2" t="s">
        <v>21</v>
      </c>
      <c r="B8" s="2" t="s">
        <v>74</v>
      </c>
    </row>
    <row r="9" customFormat="false" ht="15" hidden="false" customHeight="false" outlineLevel="0" collapsed="false">
      <c r="A9" s="2" t="s">
        <v>23</v>
      </c>
      <c r="B9" s="2" t="s">
        <v>75</v>
      </c>
    </row>
    <row r="10" customFormat="false" ht="15" hidden="false" customHeight="false" outlineLevel="0" collapsed="false">
      <c r="A10" s="2" t="s">
        <v>25</v>
      </c>
      <c r="B10" s="2" t="s">
        <v>76</v>
      </c>
    </row>
    <row r="11" customFormat="false" ht="15" hidden="false" customHeight="false" outlineLevel="0" collapsed="false">
      <c r="A11" s="2" t="s">
        <v>27</v>
      </c>
      <c r="B11" s="2" t="s">
        <v>77</v>
      </c>
    </row>
    <row r="12" customFormat="false" ht="15" hidden="false" customHeight="false" outlineLevel="0" collapsed="false">
      <c r="A12" s="2" t="s">
        <v>28</v>
      </c>
      <c r="B12" s="2" t="s">
        <v>78</v>
      </c>
    </row>
    <row r="13" customFormat="false" ht="15" hidden="false" customHeight="false" outlineLevel="0" collapsed="false">
      <c r="A13" s="2" t="s">
        <v>29</v>
      </c>
      <c r="B13" s="2" t="s">
        <v>79</v>
      </c>
    </row>
    <row r="14" customFormat="false" ht="15" hidden="false" customHeight="false" outlineLevel="0" collapsed="false">
      <c r="A14" s="2" t="s">
        <v>30</v>
      </c>
      <c r="B14" s="2" t="s">
        <v>80</v>
      </c>
    </row>
    <row r="15" customFormat="false" ht="15" hidden="false" customHeight="false" outlineLevel="0" collapsed="false">
      <c r="A15" s="2" t="s">
        <v>31</v>
      </c>
      <c r="B15" s="2" t="s">
        <v>81</v>
      </c>
    </row>
    <row r="16" customFormat="false" ht="15" hidden="false" customHeight="false" outlineLevel="0" collapsed="false">
      <c r="A16" s="2" t="s">
        <v>32</v>
      </c>
      <c r="B16" s="2" t="s">
        <v>82</v>
      </c>
    </row>
    <row r="17" customFormat="false" ht="15" hidden="false" customHeight="false" outlineLevel="0" collapsed="false">
      <c r="A17" s="2" t="s">
        <v>33</v>
      </c>
      <c r="B17" s="2" t="s">
        <v>83</v>
      </c>
    </row>
    <row r="18" customFormat="false" ht="15" hidden="false" customHeight="false" outlineLevel="0" collapsed="false">
      <c r="A18" s="2" t="s">
        <v>34</v>
      </c>
      <c r="B18" s="2" t="s">
        <v>84</v>
      </c>
    </row>
    <row r="19" customFormat="false" ht="15" hidden="false" customHeight="false" outlineLevel="0" collapsed="false">
      <c r="A19" s="2" t="s">
        <v>35</v>
      </c>
      <c r="B19" s="2" t="s">
        <v>85</v>
      </c>
    </row>
    <row r="20" customFormat="false" ht="15" hidden="false" customHeight="false" outlineLevel="0" collapsed="false">
      <c r="A20" s="2" t="s">
        <v>36</v>
      </c>
      <c r="B20" s="2" t="s">
        <v>86</v>
      </c>
    </row>
    <row r="21" customFormat="false" ht="15" hidden="false" customHeight="false" outlineLevel="0" collapsed="false">
      <c r="A21" s="2" t="s">
        <v>37</v>
      </c>
      <c r="B21" s="2" t="s">
        <v>87</v>
      </c>
    </row>
    <row r="22" customFormat="false" ht="15" hidden="false" customHeight="false" outlineLevel="0" collapsed="false">
      <c r="A22" s="2" t="s">
        <v>21</v>
      </c>
      <c r="B22" s="2" t="s">
        <v>74</v>
      </c>
    </row>
    <row r="23" customFormat="false" ht="15" hidden="false" customHeight="false" outlineLevel="0" collapsed="false">
      <c r="A23" s="2" t="s">
        <v>23</v>
      </c>
      <c r="B23" s="2" t="s">
        <v>75</v>
      </c>
    </row>
    <row r="24" customFormat="false" ht="15" hidden="false" customHeight="false" outlineLevel="0" collapsed="false">
      <c r="A24" s="2" t="s">
        <v>25</v>
      </c>
      <c r="B24" s="2" t="s">
        <v>76</v>
      </c>
    </row>
    <row r="25" customFormat="false" ht="15" hidden="false" customHeight="false" outlineLevel="0" collapsed="false">
      <c r="A25" s="2" t="s">
        <v>38</v>
      </c>
      <c r="B25" s="2" t="s">
        <v>88</v>
      </c>
    </row>
    <row r="26" customFormat="false" ht="15" hidden="false" customHeight="false" outlineLevel="0" collapsed="false">
      <c r="A26" s="2" t="s">
        <v>39</v>
      </c>
      <c r="B26" s="2" t="s">
        <v>89</v>
      </c>
    </row>
    <row r="27" customFormat="false" ht="15" hidden="false" customHeight="false" outlineLevel="0" collapsed="false">
      <c r="A27" s="2" t="s">
        <v>40</v>
      </c>
      <c r="B27" s="2" t="s">
        <v>90</v>
      </c>
    </row>
    <row r="28" customFormat="false" ht="15" hidden="false" customHeight="false" outlineLevel="0" collapsed="false">
      <c r="A28" s="2" t="s">
        <v>41</v>
      </c>
      <c r="B28" s="2" t="s">
        <v>91</v>
      </c>
    </row>
    <row r="29" customFormat="false" ht="15" hidden="false" customHeight="false" outlineLevel="0" collapsed="false">
      <c r="A29" s="2" t="s">
        <v>42</v>
      </c>
      <c r="B29" s="2" t="s">
        <v>92</v>
      </c>
    </row>
    <row r="30" customFormat="false" ht="15" hidden="false" customHeight="false" outlineLevel="0" collapsed="false">
      <c r="A30" s="2" t="s">
        <v>43</v>
      </c>
      <c r="B30" s="2" t="s">
        <v>93</v>
      </c>
    </row>
    <row r="31" customFormat="false" ht="15" hidden="false" customHeight="false" outlineLevel="0" collapsed="false">
      <c r="A31" s="2" t="s">
        <v>44</v>
      </c>
      <c r="B31" s="2" t="s">
        <v>94</v>
      </c>
    </row>
    <row r="32" customFormat="false" ht="15" hidden="false" customHeight="false" outlineLevel="0" collapsed="false">
      <c r="A32" s="2" t="s">
        <v>45</v>
      </c>
      <c r="B32" s="2" t="s">
        <v>95</v>
      </c>
    </row>
    <row r="33" customFormat="false" ht="15" hidden="false" customHeight="false" outlineLevel="0" collapsed="false">
      <c r="A33" s="2" t="s">
        <v>46</v>
      </c>
      <c r="B33" s="2" t="s">
        <v>96</v>
      </c>
    </row>
    <row r="34" customFormat="false" ht="15" hidden="false" customHeight="false" outlineLevel="0" collapsed="false">
      <c r="A34" s="2" t="s">
        <v>47</v>
      </c>
      <c r="B34" s="2" t="s">
        <v>97</v>
      </c>
    </row>
    <row r="35" customFormat="false" ht="15" hidden="false" customHeight="false" outlineLevel="0" collapsed="false">
      <c r="A35" s="2" t="s">
        <v>48</v>
      </c>
      <c r="B35" s="2" t="s">
        <v>98</v>
      </c>
    </row>
    <row r="36" customFormat="false" ht="15" hidden="false" customHeight="false" outlineLevel="0" collapsed="false">
      <c r="A36" s="2" t="s">
        <v>49</v>
      </c>
      <c r="B36" s="2" t="s">
        <v>99</v>
      </c>
    </row>
    <row r="37" customFormat="false" ht="15" hidden="false" customHeight="false" outlineLevel="0" collapsed="false">
      <c r="A37" s="2" t="s">
        <v>50</v>
      </c>
      <c r="B37" s="2" t="s">
        <v>100</v>
      </c>
    </row>
    <row r="38" customFormat="false" ht="15" hidden="false" customHeight="false" outlineLevel="0" collapsed="false">
      <c r="A38" s="2" t="s">
        <v>51</v>
      </c>
      <c r="B38" s="2" t="s">
        <v>101</v>
      </c>
    </row>
    <row r="39" customFormat="false" ht="15" hidden="false" customHeight="false" outlineLevel="0" collapsed="false">
      <c r="A39" s="2" t="s">
        <v>52</v>
      </c>
      <c r="B39" s="2" t="s">
        <v>102</v>
      </c>
    </row>
    <row r="40" customFormat="false" ht="15" hidden="false" customHeight="false" outlineLevel="0" collapsed="false">
      <c r="A40" s="2" t="s">
        <v>53</v>
      </c>
      <c r="B40" s="2" t="s">
        <v>103</v>
      </c>
    </row>
    <row r="41" customFormat="false" ht="15" hidden="false" customHeight="false" outlineLevel="0" collapsed="false">
      <c r="A41" s="2" t="s">
        <v>54</v>
      </c>
      <c r="B41" s="2" t="s">
        <v>104</v>
      </c>
    </row>
    <row r="42" customFormat="false" ht="15" hidden="false" customHeight="false" outlineLevel="0" collapsed="false">
      <c r="A42" s="2" t="s">
        <v>55</v>
      </c>
      <c r="B42" s="2" t="s">
        <v>105</v>
      </c>
    </row>
    <row r="43" customFormat="false" ht="15" hidden="false" customHeight="false" outlineLevel="0" collapsed="false">
      <c r="A43" s="2" t="s">
        <v>56</v>
      </c>
      <c r="B43" s="2" t="s">
        <v>106</v>
      </c>
    </row>
    <row r="44" customFormat="false" ht="15" hidden="false" customHeight="false" outlineLevel="0" collapsed="false">
      <c r="A44" s="2" t="s">
        <v>57</v>
      </c>
      <c r="B44" s="2" t="s">
        <v>107</v>
      </c>
    </row>
    <row r="45" customFormat="false" ht="15" hidden="false" customHeight="false" outlineLevel="0" collapsed="false">
      <c r="A45" s="2" t="s">
        <v>58</v>
      </c>
      <c r="B45" s="2" t="s">
        <v>108</v>
      </c>
    </row>
    <row r="46" customFormat="false" ht="15" hidden="false" customHeight="false" outlineLevel="0" collapsed="false">
      <c r="A46" s="2" t="s">
        <v>59</v>
      </c>
      <c r="B46" s="2" t="s">
        <v>109</v>
      </c>
    </row>
    <row r="47" customFormat="false" ht="15" hidden="false" customHeight="false" outlineLevel="0" collapsed="false">
      <c r="A47" s="2" t="s">
        <v>60</v>
      </c>
      <c r="B47" s="2" t="s">
        <v>110</v>
      </c>
    </row>
    <row r="48" customFormat="false" ht="15" hidden="false" customHeight="false" outlineLevel="0" collapsed="false">
      <c r="A48" s="2" t="s">
        <v>45</v>
      </c>
      <c r="B48" s="2" t="s">
        <v>95</v>
      </c>
    </row>
    <row r="49" customFormat="false" ht="15" hidden="false" customHeight="false" outlineLevel="0" collapsed="false">
      <c r="A49" s="2" t="s">
        <v>46</v>
      </c>
      <c r="B49" s="2" t="s">
        <v>96</v>
      </c>
    </row>
    <row r="50" customFormat="false" ht="15" hidden="false" customHeight="false" outlineLevel="0" collapsed="false">
      <c r="A50" s="2" t="s">
        <v>47</v>
      </c>
      <c r="B50" s="2" t="s">
        <v>97</v>
      </c>
    </row>
    <row r="51" customFormat="false" ht="15" hidden="false" customHeight="false" outlineLevel="0" collapsed="false">
      <c r="A51" s="2" t="s">
        <v>48</v>
      </c>
      <c r="B51" s="2" t="s">
        <v>98</v>
      </c>
    </row>
    <row r="52" customFormat="false" ht="15" hidden="false" customHeight="false" outlineLevel="0" collapsed="false">
      <c r="A52" s="2" t="s">
        <v>61</v>
      </c>
      <c r="B52" s="2" t="s">
        <v>111</v>
      </c>
    </row>
    <row r="53" customFormat="false" ht="15" hidden="false" customHeight="false" outlineLevel="0" collapsed="false">
      <c r="A53" s="2" t="s">
        <v>62</v>
      </c>
      <c r="B53" s="2" t="s">
        <v>112</v>
      </c>
    </row>
    <row r="54" customFormat="false" ht="15" hidden="false" customHeight="false" outlineLevel="0" collapsed="false">
      <c r="A54" s="2" t="s">
        <v>63</v>
      </c>
      <c r="B54" s="2" t="s">
        <v>113</v>
      </c>
    </row>
    <row r="55" customFormat="false" ht="15" hidden="false" customHeight="false" outlineLevel="0" collapsed="false">
      <c r="A55" s="2" t="s">
        <v>64</v>
      </c>
      <c r="B55" s="2" t="s">
        <v>114</v>
      </c>
    </row>
    <row r="56" customFormat="false" ht="15" hidden="false" customHeight="false" outlineLevel="0" collapsed="false">
      <c r="A56" s="2" t="s">
        <v>65</v>
      </c>
      <c r="B56" s="2" t="s">
        <v>115</v>
      </c>
    </row>
    <row r="57" customFormat="false" ht="15" hidden="false" customHeight="false" outlineLevel="0" collapsed="false">
      <c r="A57" s="2" t="s">
        <v>66</v>
      </c>
      <c r="B57" s="2" t="s">
        <v>116</v>
      </c>
    </row>
    <row r="58" customFormat="false" ht="15" hidden="false" customHeight="false" outlineLevel="0" collapsed="false">
      <c r="A58" s="2" t="s">
        <v>67</v>
      </c>
      <c r="B58" s="2" t="s">
        <v>117</v>
      </c>
    </row>
    <row r="60" customFormat="false" ht="15" hidden="false" customHeight="false" outlineLevel="0" collapsed="false">
      <c r="A60" s="7" t="s">
        <v>118</v>
      </c>
      <c r="B60" s="7"/>
    </row>
  </sheetData>
  <mergeCells count="1">
    <mergeCell ref="A60:B60"/>
  </mergeCells>
  <conditionalFormatting sqref="A2:A58">
    <cfRule type="expression" priority="2" aboveAverage="0" equalAverage="0" bottom="0" percent="0" rank="0" text="" dxfId="19">
      <formula>COUNTIF($A$2:$A$58,A2)&gt;1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3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10</v>
      </c>
      <c r="B2" s="2" t="s">
        <v>11</v>
      </c>
      <c r="D2" s="2" t="s">
        <v>11</v>
      </c>
      <c r="E2" s="2" t="s">
        <v>119</v>
      </c>
    </row>
    <row r="3" customFormat="false" ht="15" hidden="false" customHeight="false" outlineLevel="0" collapsed="false">
      <c r="A3" s="2" t="s">
        <v>12</v>
      </c>
      <c r="B3" s="2" t="s">
        <v>13</v>
      </c>
      <c r="D3" s="2" t="s">
        <v>13</v>
      </c>
      <c r="E3" s="2" t="s">
        <v>120</v>
      </c>
    </row>
    <row r="4" customFormat="false" ht="15" hidden="false" customHeight="false" outlineLevel="0" collapsed="false">
      <c r="A4" s="2" t="s">
        <v>14</v>
      </c>
      <c r="B4" s="2" t="s">
        <v>15</v>
      </c>
      <c r="D4" s="2" t="s">
        <v>15</v>
      </c>
      <c r="E4" s="2" t="s">
        <v>121</v>
      </c>
    </row>
    <row r="5" customFormat="false" ht="15" hidden="false" customHeight="false" outlineLevel="0" collapsed="false">
      <c r="A5" s="2" t="s">
        <v>16</v>
      </c>
      <c r="B5" s="2" t="s">
        <v>17</v>
      </c>
      <c r="D5" s="2" t="s">
        <v>17</v>
      </c>
      <c r="E5" s="2" t="s">
        <v>122</v>
      </c>
    </row>
    <row r="6" customFormat="false" ht="15" hidden="false" customHeight="false" outlineLevel="0" collapsed="false">
      <c r="A6" s="2" t="s">
        <v>18</v>
      </c>
      <c r="B6" s="2" t="s">
        <v>19</v>
      </c>
      <c r="D6" s="2" t="s">
        <v>19</v>
      </c>
      <c r="E6" s="2" t="s">
        <v>123</v>
      </c>
    </row>
    <row r="7" customFormat="false" ht="15" hidden="false" customHeight="false" outlineLevel="0" collapsed="false">
      <c r="A7" s="2" t="s">
        <v>20</v>
      </c>
      <c r="B7" s="2" t="s">
        <v>11</v>
      </c>
    </row>
    <row r="8" customFormat="false" ht="15" hidden="false" customHeight="false" outlineLevel="0" collapsed="false">
      <c r="A8" s="2" t="s">
        <v>21</v>
      </c>
      <c r="B8" s="2" t="s">
        <v>13</v>
      </c>
      <c r="D8" s="6" t="s">
        <v>4</v>
      </c>
      <c r="E8" s="6" t="s">
        <v>124</v>
      </c>
    </row>
    <row r="9" customFormat="false" ht="15" hidden="false" customHeight="false" outlineLevel="0" collapsed="false">
      <c r="A9" s="2" t="s">
        <v>23</v>
      </c>
      <c r="B9" s="2" t="s">
        <v>15</v>
      </c>
      <c r="D9" s="2" t="s">
        <v>119</v>
      </c>
      <c r="E9" s="2" t="s">
        <v>125</v>
      </c>
    </row>
    <row r="10" customFormat="false" ht="15" hidden="false" customHeight="false" outlineLevel="0" collapsed="false">
      <c r="A10" s="2" t="s">
        <v>25</v>
      </c>
      <c r="B10" s="2" t="s">
        <v>17</v>
      </c>
      <c r="D10" s="2" t="s">
        <v>120</v>
      </c>
      <c r="E10" s="2" t="s">
        <v>125</v>
      </c>
    </row>
    <row r="11" customFormat="false" ht="15" hidden="false" customHeight="false" outlineLevel="0" collapsed="false">
      <c r="A11" s="2" t="s">
        <v>27</v>
      </c>
      <c r="B11" s="2" t="s">
        <v>19</v>
      </c>
      <c r="D11" s="2" t="s">
        <v>121</v>
      </c>
      <c r="E11" s="2" t="s">
        <v>125</v>
      </c>
    </row>
    <row r="12" customFormat="false" ht="15" hidden="false" customHeight="false" outlineLevel="0" collapsed="false">
      <c r="A12" s="2" t="s">
        <v>28</v>
      </c>
      <c r="B12" s="2" t="s">
        <v>11</v>
      </c>
      <c r="D12" s="2" t="s">
        <v>122</v>
      </c>
      <c r="E12" s="2" t="s">
        <v>126</v>
      </c>
    </row>
    <row r="13" customFormat="false" ht="15" hidden="false" customHeight="false" outlineLevel="0" collapsed="false">
      <c r="A13" s="2" t="s">
        <v>29</v>
      </c>
      <c r="B13" s="2" t="s">
        <v>13</v>
      </c>
      <c r="D13" s="2" t="s">
        <v>123</v>
      </c>
      <c r="E13" s="2" t="s">
        <v>126</v>
      </c>
    </row>
    <row r="14" customFormat="false" ht="15" hidden="false" customHeight="false" outlineLevel="0" collapsed="false">
      <c r="A14" s="2" t="s">
        <v>30</v>
      </c>
      <c r="B14" s="2" t="s">
        <v>15</v>
      </c>
    </row>
    <row r="15" customFormat="false" ht="15" hidden="false" customHeight="false" outlineLevel="0" collapsed="false">
      <c r="A15" s="2" t="s">
        <v>31</v>
      </c>
      <c r="B15" s="2" t="s">
        <v>17</v>
      </c>
    </row>
    <row r="16" customFormat="false" ht="15" hidden="false" customHeight="false" outlineLevel="0" collapsed="false">
      <c r="A16" s="2" t="s">
        <v>32</v>
      </c>
      <c r="B16" s="2" t="s">
        <v>19</v>
      </c>
    </row>
    <row r="17" customFormat="false" ht="15" hidden="false" customHeight="false" outlineLevel="0" collapsed="false">
      <c r="A17" s="2" t="s">
        <v>33</v>
      </c>
      <c r="B17" s="2" t="s">
        <v>11</v>
      </c>
    </row>
    <row r="18" customFormat="false" ht="15" hidden="false" customHeight="false" outlineLevel="0" collapsed="false">
      <c r="A18" s="2" t="s">
        <v>34</v>
      </c>
      <c r="B18" s="2" t="s">
        <v>13</v>
      </c>
    </row>
    <row r="19" customFormat="false" ht="15" hidden="false" customHeight="false" outlineLevel="0" collapsed="false">
      <c r="A19" s="2" t="s">
        <v>35</v>
      </c>
      <c r="B19" s="2" t="s">
        <v>15</v>
      </c>
    </row>
    <row r="20" customFormat="false" ht="15" hidden="false" customHeight="false" outlineLevel="0" collapsed="false">
      <c r="A20" s="2" t="s">
        <v>36</v>
      </c>
      <c r="B20" s="2" t="s">
        <v>17</v>
      </c>
    </row>
    <row r="21" customFormat="false" ht="15" hidden="false" customHeight="false" outlineLevel="0" collapsed="false">
      <c r="A21" s="2" t="s">
        <v>37</v>
      </c>
      <c r="B21" s="2" t="s">
        <v>19</v>
      </c>
    </row>
    <row r="22" customFormat="false" ht="15" hidden="false" customHeight="false" outlineLevel="0" collapsed="false">
      <c r="A22" s="2" t="s">
        <v>38</v>
      </c>
      <c r="B22" s="2" t="s">
        <v>11</v>
      </c>
    </row>
    <row r="23" customFormat="false" ht="15" hidden="false" customHeight="false" outlineLevel="0" collapsed="false">
      <c r="A23" s="2" t="s">
        <v>39</v>
      </c>
      <c r="B23" s="2" t="s">
        <v>13</v>
      </c>
    </row>
    <row r="24" customFormat="false" ht="15" hidden="false" customHeight="false" outlineLevel="0" collapsed="false">
      <c r="A24" s="2" t="s">
        <v>40</v>
      </c>
      <c r="B24" s="2" t="s">
        <v>15</v>
      </c>
    </row>
    <row r="25" customFormat="false" ht="15" hidden="false" customHeight="false" outlineLevel="0" collapsed="false">
      <c r="A25" s="2" t="s">
        <v>41</v>
      </c>
      <c r="B25" s="2" t="s">
        <v>17</v>
      </c>
    </row>
    <row r="26" customFormat="false" ht="15" hidden="false" customHeight="false" outlineLevel="0" collapsed="false">
      <c r="A26" s="2" t="s">
        <v>42</v>
      </c>
      <c r="B26" s="2" t="s">
        <v>19</v>
      </c>
    </row>
    <row r="27" customFormat="false" ht="15" hidden="false" customHeight="false" outlineLevel="0" collapsed="false">
      <c r="A27" s="2" t="s">
        <v>43</v>
      </c>
      <c r="B27" s="2" t="s">
        <v>11</v>
      </c>
    </row>
    <row r="28" customFormat="false" ht="15" hidden="false" customHeight="false" outlineLevel="0" collapsed="false">
      <c r="A28" s="2" t="s">
        <v>44</v>
      </c>
      <c r="B28" s="2" t="s">
        <v>13</v>
      </c>
    </row>
    <row r="29" customFormat="false" ht="15" hidden="false" customHeight="false" outlineLevel="0" collapsed="false">
      <c r="A29" s="2" t="s">
        <v>45</v>
      </c>
      <c r="B29" s="2" t="s">
        <v>15</v>
      </c>
    </row>
    <row r="30" customFormat="false" ht="15" hidden="false" customHeight="false" outlineLevel="0" collapsed="false">
      <c r="A30" s="2" t="s">
        <v>46</v>
      </c>
      <c r="B30" s="2" t="s">
        <v>17</v>
      </c>
    </row>
    <row r="31" customFormat="false" ht="15" hidden="false" customHeight="false" outlineLevel="0" collapsed="false">
      <c r="A31" s="2" t="s">
        <v>47</v>
      </c>
      <c r="B31" s="2" t="s">
        <v>19</v>
      </c>
    </row>
    <row r="32" customFormat="false" ht="15" hidden="false" customHeight="false" outlineLevel="0" collapsed="false">
      <c r="A32" s="2" t="s">
        <v>48</v>
      </c>
      <c r="B32" s="2" t="s">
        <v>11</v>
      </c>
    </row>
    <row r="33" customFormat="false" ht="15" hidden="false" customHeight="false" outlineLevel="0" collapsed="false">
      <c r="A33" s="2" t="s">
        <v>49</v>
      </c>
      <c r="B33" s="2" t="s">
        <v>13</v>
      </c>
    </row>
    <row r="34" customFormat="false" ht="15" hidden="false" customHeight="false" outlineLevel="0" collapsed="false">
      <c r="A34" s="2" t="s">
        <v>50</v>
      </c>
      <c r="B34" s="2" t="s">
        <v>15</v>
      </c>
    </row>
    <row r="35" customFormat="false" ht="15" hidden="false" customHeight="false" outlineLevel="0" collapsed="false">
      <c r="A35" s="2" t="s">
        <v>51</v>
      </c>
      <c r="B35" s="2" t="s">
        <v>17</v>
      </c>
    </row>
    <row r="36" customFormat="false" ht="15" hidden="false" customHeight="false" outlineLevel="0" collapsed="false">
      <c r="A36" s="2" t="s">
        <v>52</v>
      </c>
      <c r="B36" s="2" t="s">
        <v>19</v>
      </c>
    </row>
    <row r="37" customFormat="false" ht="15" hidden="false" customHeight="false" outlineLevel="0" collapsed="false">
      <c r="A37" s="2" t="s">
        <v>53</v>
      </c>
      <c r="B37" s="2" t="s">
        <v>11</v>
      </c>
    </row>
    <row r="38" customFormat="false" ht="15" hidden="false" customHeight="false" outlineLevel="0" collapsed="false">
      <c r="A38" s="2" t="s">
        <v>54</v>
      </c>
      <c r="B38" s="2" t="s">
        <v>13</v>
      </c>
    </row>
    <row r="39" customFormat="false" ht="15" hidden="false" customHeight="false" outlineLevel="0" collapsed="false">
      <c r="A39" s="2" t="s">
        <v>55</v>
      </c>
      <c r="B39" s="2" t="s">
        <v>15</v>
      </c>
    </row>
    <row r="40" customFormat="false" ht="15" hidden="false" customHeight="false" outlineLevel="0" collapsed="false">
      <c r="A40" s="2" t="s">
        <v>56</v>
      </c>
      <c r="B40" s="2" t="s">
        <v>17</v>
      </c>
    </row>
    <row r="41" customFormat="false" ht="15" hidden="false" customHeight="false" outlineLevel="0" collapsed="false">
      <c r="A41" s="2" t="s">
        <v>57</v>
      </c>
      <c r="B41" s="2" t="s">
        <v>19</v>
      </c>
    </row>
    <row r="42" customFormat="false" ht="15" hidden="false" customHeight="false" outlineLevel="0" collapsed="false">
      <c r="A42" s="2" t="s">
        <v>58</v>
      </c>
      <c r="B42" s="2" t="s">
        <v>11</v>
      </c>
    </row>
    <row r="43" customFormat="false" ht="15" hidden="false" customHeight="false" outlineLevel="0" collapsed="false">
      <c r="A43" s="2" t="s">
        <v>59</v>
      </c>
      <c r="B43" s="2" t="s">
        <v>13</v>
      </c>
    </row>
    <row r="44" customFormat="false" ht="15" hidden="false" customHeight="false" outlineLevel="0" collapsed="false">
      <c r="A44" s="2" t="s">
        <v>60</v>
      </c>
      <c r="B44" s="2" t="s">
        <v>15</v>
      </c>
    </row>
    <row r="45" customFormat="false" ht="15" hidden="false" customHeight="false" outlineLevel="0" collapsed="false">
      <c r="A45" s="2" t="s">
        <v>61</v>
      </c>
      <c r="B45" s="2" t="s">
        <v>17</v>
      </c>
    </row>
    <row r="46" customFormat="false" ht="15" hidden="false" customHeight="false" outlineLevel="0" collapsed="false">
      <c r="A46" s="2" t="s">
        <v>62</v>
      </c>
      <c r="B46" s="2" t="s">
        <v>19</v>
      </c>
    </row>
    <row r="47" customFormat="false" ht="15" hidden="false" customHeight="false" outlineLevel="0" collapsed="false">
      <c r="A47" s="2" t="s">
        <v>63</v>
      </c>
      <c r="B47" s="2" t="s">
        <v>11</v>
      </c>
    </row>
    <row r="48" customFormat="false" ht="15" hidden="false" customHeight="false" outlineLevel="0" collapsed="false">
      <c r="A48" s="2" t="s">
        <v>64</v>
      </c>
      <c r="B48" s="2" t="s">
        <v>13</v>
      </c>
    </row>
    <row r="49" customFormat="false" ht="15" hidden="false" customHeight="false" outlineLevel="0" collapsed="false">
      <c r="A49" s="2" t="s">
        <v>65</v>
      </c>
      <c r="B49" s="2" t="s">
        <v>15</v>
      </c>
    </row>
    <row r="50" customFormat="false" ht="15" hidden="false" customHeight="false" outlineLevel="0" collapsed="false">
      <c r="A50" s="2" t="s">
        <v>66</v>
      </c>
      <c r="B50" s="2" t="s">
        <v>17</v>
      </c>
    </row>
    <row r="51" customFormat="false" ht="15" hidden="false" customHeight="false" outlineLevel="0" collapsed="false">
      <c r="A51" s="2" t="s">
        <v>67</v>
      </c>
      <c r="B5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6.85" hidden="false" customHeight="false" outlineLevel="0" collapsed="false">
      <c r="A1" s="1" t="s">
        <v>0</v>
      </c>
      <c r="B1" s="1" t="s">
        <v>127</v>
      </c>
      <c r="C1" s="1" t="s">
        <v>128</v>
      </c>
      <c r="D1" s="1" t="s">
        <v>129</v>
      </c>
      <c r="F1" s="1" t="s">
        <v>130</v>
      </c>
      <c r="G1" s="1" t="s">
        <v>131</v>
      </c>
    </row>
    <row r="2" customFormat="false" ht="15" hidden="false" customHeight="false" outlineLevel="0" collapsed="false">
      <c r="A2" s="2" t="s">
        <v>10</v>
      </c>
      <c r="B2" s="8" t="n">
        <v>45474</v>
      </c>
      <c r="C2" s="2" t="s">
        <v>132</v>
      </c>
      <c r="D2" s="2" t="str">
        <f aca="false">IF(C2="Yes","Present","Absent")</f>
        <v>Present</v>
      </c>
      <c r="F2" s="8" t="n">
        <v>45474</v>
      </c>
      <c r="G2" s="2" t="n">
        <f aca="false">COUNTIFS($B$2:$B$251,F2,$C$2:$C$251,"Yes")</f>
        <v>25</v>
      </c>
    </row>
    <row r="3" customFormat="false" ht="15" hidden="false" customHeight="false" outlineLevel="0" collapsed="false">
      <c r="A3" s="2" t="s">
        <v>12</v>
      </c>
      <c r="B3" s="8" t="n">
        <v>45474</v>
      </c>
      <c r="C3" s="2" t="s">
        <v>133</v>
      </c>
      <c r="D3" s="2" t="str">
        <f aca="false">IF(C3="Yes","Present","Absent")</f>
        <v>Absent</v>
      </c>
      <c r="F3" s="8" t="n">
        <v>45475</v>
      </c>
      <c r="G3" s="2" t="n">
        <f aca="false">COUNTIFS($B$2:$B$251,F3,$C$2:$C$251,"Yes")</f>
        <v>25</v>
      </c>
    </row>
    <row r="4" customFormat="false" ht="15" hidden="false" customHeight="false" outlineLevel="0" collapsed="false">
      <c r="A4" s="2" t="s">
        <v>14</v>
      </c>
      <c r="B4" s="8" t="n">
        <v>45474</v>
      </c>
      <c r="C4" s="2" t="s">
        <v>132</v>
      </c>
      <c r="D4" s="2" t="str">
        <f aca="false">IF(C4="Yes","Present","Absent")</f>
        <v>Present</v>
      </c>
      <c r="F4" s="8" t="n">
        <v>45476</v>
      </c>
      <c r="G4" s="2" t="n">
        <f aca="false">COUNTIFS($B$2:$B$251,F4,$C$2:$C$251,"Yes")</f>
        <v>24</v>
      </c>
    </row>
    <row r="5" customFormat="false" ht="15" hidden="false" customHeight="false" outlineLevel="0" collapsed="false">
      <c r="A5" s="2" t="s">
        <v>16</v>
      </c>
      <c r="B5" s="8" t="n">
        <v>45474</v>
      </c>
      <c r="C5" s="2" t="s">
        <v>133</v>
      </c>
      <c r="D5" s="2" t="str">
        <f aca="false">IF(C5="Yes","Present","Absent")</f>
        <v>Absent</v>
      </c>
      <c r="F5" s="8" t="n">
        <v>45477</v>
      </c>
      <c r="G5" s="2" t="n">
        <f aca="false">COUNTIFS($B$2:$B$251,F5,$C$2:$C$251,"Yes")</f>
        <v>30</v>
      </c>
    </row>
    <row r="6" customFormat="false" ht="15" hidden="false" customHeight="false" outlineLevel="0" collapsed="false">
      <c r="A6" s="2" t="s">
        <v>18</v>
      </c>
      <c r="B6" s="8" t="n">
        <v>45474</v>
      </c>
      <c r="C6" s="2" t="s">
        <v>132</v>
      </c>
      <c r="D6" s="2" t="str">
        <f aca="false">IF(C6="Yes","Present","Absent")</f>
        <v>Present</v>
      </c>
      <c r="F6" s="8" t="n">
        <v>45478</v>
      </c>
      <c r="G6" s="2" t="n">
        <f aca="false">COUNTIFS($B$2:$B$251,F6,$C$2:$C$251,"Yes")</f>
        <v>23</v>
      </c>
    </row>
    <row r="7" customFormat="false" ht="15" hidden="false" customHeight="false" outlineLevel="0" collapsed="false">
      <c r="A7" s="2" t="s">
        <v>20</v>
      </c>
      <c r="B7" s="8" t="n">
        <v>45474</v>
      </c>
      <c r="C7" s="2" t="s">
        <v>133</v>
      </c>
      <c r="D7" s="2" t="str">
        <f aca="false">IF(C7="Yes","Present","Absent")</f>
        <v>Absent</v>
      </c>
    </row>
    <row r="8" customFormat="false" ht="15" hidden="false" customHeight="false" outlineLevel="0" collapsed="false">
      <c r="A8" s="2" t="s">
        <v>21</v>
      </c>
      <c r="B8" s="8" t="n">
        <v>45474</v>
      </c>
      <c r="C8" s="2" t="s">
        <v>132</v>
      </c>
      <c r="D8" s="2" t="str">
        <f aca="false">IF(C8="Yes","Present","Absent")</f>
        <v>Present</v>
      </c>
    </row>
    <row r="9" customFormat="false" ht="15" hidden="false" customHeight="false" outlineLevel="0" collapsed="false">
      <c r="A9" s="2" t="s">
        <v>23</v>
      </c>
      <c r="B9" s="8" t="n">
        <v>45474</v>
      </c>
      <c r="C9" s="2" t="s">
        <v>133</v>
      </c>
      <c r="D9" s="2" t="str">
        <f aca="false">IF(C9="Yes","Present","Absent")</f>
        <v>Absent</v>
      </c>
    </row>
    <row r="10" customFormat="false" ht="15" hidden="false" customHeight="false" outlineLevel="0" collapsed="false">
      <c r="A10" s="2" t="s">
        <v>25</v>
      </c>
      <c r="B10" s="8" t="n">
        <v>45474</v>
      </c>
      <c r="C10" s="2" t="s">
        <v>132</v>
      </c>
      <c r="D10" s="2" t="str">
        <f aca="false">IF(C10="Yes","Present","Absent")</f>
        <v>Present</v>
      </c>
    </row>
    <row r="11" customFormat="false" ht="15" hidden="false" customHeight="false" outlineLevel="0" collapsed="false">
      <c r="A11" s="2" t="s">
        <v>27</v>
      </c>
      <c r="B11" s="8" t="n">
        <v>45474</v>
      </c>
      <c r="C11" s="2" t="s">
        <v>133</v>
      </c>
      <c r="D11" s="2" t="str">
        <f aca="false">IF(C11="Yes","Present","Absent")</f>
        <v>Absent</v>
      </c>
    </row>
    <row r="12" customFormat="false" ht="15" hidden="false" customHeight="false" outlineLevel="0" collapsed="false">
      <c r="A12" s="2" t="s">
        <v>28</v>
      </c>
      <c r="B12" s="8" t="n">
        <v>45474</v>
      </c>
      <c r="C12" s="2" t="s">
        <v>132</v>
      </c>
      <c r="D12" s="2" t="str">
        <f aca="false">IF(C12="Yes","Present","Absent")</f>
        <v>Present</v>
      </c>
    </row>
    <row r="13" customFormat="false" ht="15" hidden="false" customHeight="false" outlineLevel="0" collapsed="false">
      <c r="A13" s="2" t="s">
        <v>29</v>
      </c>
      <c r="B13" s="8" t="n">
        <v>45474</v>
      </c>
      <c r="C13" s="2" t="s">
        <v>133</v>
      </c>
      <c r="D13" s="2" t="str">
        <f aca="false">IF(C13="Yes","Present","Absent")</f>
        <v>Absent</v>
      </c>
    </row>
    <row r="14" customFormat="false" ht="15" hidden="false" customHeight="false" outlineLevel="0" collapsed="false">
      <c r="A14" s="2" t="s">
        <v>30</v>
      </c>
      <c r="B14" s="8" t="n">
        <v>45474</v>
      </c>
      <c r="C14" s="2" t="s">
        <v>132</v>
      </c>
      <c r="D14" s="2" t="str">
        <f aca="false">IF(C14="Yes","Present","Absent")</f>
        <v>Present</v>
      </c>
    </row>
    <row r="15" customFormat="false" ht="15" hidden="false" customHeight="false" outlineLevel="0" collapsed="false">
      <c r="A15" s="2" t="s">
        <v>31</v>
      </c>
      <c r="B15" s="8" t="n">
        <v>45474</v>
      </c>
      <c r="C15" s="2" t="s">
        <v>133</v>
      </c>
      <c r="D15" s="2" t="str">
        <f aca="false">IF(C15="Yes","Present","Absent")</f>
        <v>Absent</v>
      </c>
    </row>
    <row r="16" customFormat="false" ht="15" hidden="false" customHeight="false" outlineLevel="0" collapsed="false">
      <c r="A16" s="2" t="s">
        <v>32</v>
      </c>
      <c r="B16" s="8" t="n">
        <v>45474</v>
      </c>
      <c r="C16" s="2" t="s">
        <v>132</v>
      </c>
      <c r="D16" s="2" t="str">
        <f aca="false">IF(C16="Yes","Present","Absent")</f>
        <v>Present</v>
      </c>
    </row>
    <row r="17" customFormat="false" ht="15" hidden="false" customHeight="false" outlineLevel="0" collapsed="false">
      <c r="A17" s="2" t="s">
        <v>33</v>
      </c>
      <c r="B17" s="8" t="n">
        <v>45474</v>
      </c>
      <c r="C17" s="2" t="s">
        <v>133</v>
      </c>
      <c r="D17" s="2" t="str">
        <f aca="false">IF(C17="Yes","Present","Absent")</f>
        <v>Absent</v>
      </c>
    </row>
    <row r="18" customFormat="false" ht="15" hidden="false" customHeight="false" outlineLevel="0" collapsed="false">
      <c r="A18" s="2" t="s">
        <v>34</v>
      </c>
      <c r="B18" s="8" t="n">
        <v>45474</v>
      </c>
      <c r="C18" s="2" t="s">
        <v>132</v>
      </c>
      <c r="D18" s="2" t="str">
        <f aca="false">IF(C18="Yes","Present","Absent")</f>
        <v>Present</v>
      </c>
    </row>
    <row r="19" customFormat="false" ht="15" hidden="false" customHeight="false" outlineLevel="0" collapsed="false">
      <c r="A19" s="2" t="s">
        <v>35</v>
      </c>
      <c r="B19" s="8" t="n">
        <v>45474</v>
      </c>
      <c r="C19" s="2" t="s">
        <v>133</v>
      </c>
      <c r="D19" s="2" t="str">
        <f aca="false">IF(C19="Yes","Present","Absent")</f>
        <v>Absent</v>
      </c>
    </row>
    <row r="20" customFormat="false" ht="15" hidden="false" customHeight="false" outlineLevel="0" collapsed="false">
      <c r="A20" s="2" t="s">
        <v>36</v>
      </c>
      <c r="B20" s="8" t="n">
        <v>45474</v>
      </c>
      <c r="C20" s="2" t="s">
        <v>132</v>
      </c>
      <c r="D20" s="2" t="str">
        <f aca="false">IF(C20="Yes","Present","Absent")</f>
        <v>Present</v>
      </c>
    </row>
    <row r="21" customFormat="false" ht="15" hidden="false" customHeight="false" outlineLevel="0" collapsed="false">
      <c r="A21" s="2" t="s">
        <v>37</v>
      </c>
      <c r="B21" s="8" t="n">
        <v>45474</v>
      </c>
      <c r="C21" s="2" t="s">
        <v>133</v>
      </c>
      <c r="D21" s="2" t="str">
        <f aca="false">IF(C21="Yes","Present","Absent")</f>
        <v>Absent</v>
      </c>
    </row>
    <row r="22" customFormat="false" ht="15" hidden="false" customHeight="false" outlineLevel="0" collapsed="false">
      <c r="A22" s="2" t="s">
        <v>38</v>
      </c>
      <c r="B22" s="8" t="n">
        <v>45474</v>
      </c>
      <c r="C22" s="2" t="s">
        <v>132</v>
      </c>
      <c r="D22" s="2" t="str">
        <f aca="false">IF(C22="Yes","Present","Absent")</f>
        <v>Present</v>
      </c>
    </row>
    <row r="23" customFormat="false" ht="15" hidden="false" customHeight="false" outlineLevel="0" collapsed="false">
      <c r="A23" s="2" t="s">
        <v>39</v>
      </c>
      <c r="B23" s="8" t="n">
        <v>45474</v>
      </c>
      <c r="C23" s="2" t="s">
        <v>133</v>
      </c>
      <c r="D23" s="2" t="str">
        <f aca="false">IF(C23="Yes","Present","Absent")</f>
        <v>Absent</v>
      </c>
    </row>
    <row r="24" customFormat="false" ht="15" hidden="false" customHeight="false" outlineLevel="0" collapsed="false">
      <c r="A24" s="2" t="s">
        <v>40</v>
      </c>
      <c r="B24" s="8" t="n">
        <v>45474</v>
      </c>
      <c r="C24" s="2" t="s">
        <v>132</v>
      </c>
      <c r="D24" s="2" t="str">
        <f aca="false">IF(C24="Yes","Present","Absent")</f>
        <v>Present</v>
      </c>
    </row>
    <row r="25" customFormat="false" ht="15" hidden="false" customHeight="false" outlineLevel="0" collapsed="false">
      <c r="A25" s="2" t="s">
        <v>41</v>
      </c>
      <c r="B25" s="8" t="n">
        <v>45474</v>
      </c>
      <c r="C25" s="2" t="s">
        <v>133</v>
      </c>
      <c r="D25" s="2" t="str">
        <f aca="false">IF(C25="Yes","Present","Absent")</f>
        <v>Absent</v>
      </c>
    </row>
    <row r="26" customFormat="false" ht="15" hidden="false" customHeight="false" outlineLevel="0" collapsed="false">
      <c r="A26" s="2" t="s">
        <v>42</v>
      </c>
      <c r="B26" s="8" t="n">
        <v>45474</v>
      </c>
      <c r="C26" s="2" t="s">
        <v>132</v>
      </c>
      <c r="D26" s="2" t="str">
        <f aca="false">IF(C26="Yes","Present","Absent")</f>
        <v>Present</v>
      </c>
    </row>
    <row r="27" customFormat="false" ht="15" hidden="false" customHeight="false" outlineLevel="0" collapsed="false">
      <c r="A27" s="2" t="s">
        <v>43</v>
      </c>
      <c r="B27" s="8" t="n">
        <v>45474</v>
      </c>
      <c r="C27" s="2" t="s">
        <v>133</v>
      </c>
      <c r="D27" s="2" t="str">
        <f aca="false">IF(C27="Yes","Present","Absent")</f>
        <v>Absent</v>
      </c>
    </row>
    <row r="28" customFormat="false" ht="15" hidden="false" customHeight="false" outlineLevel="0" collapsed="false">
      <c r="A28" s="2" t="s">
        <v>44</v>
      </c>
      <c r="B28" s="8" t="n">
        <v>45474</v>
      </c>
      <c r="C28" s="2" t="s">
        <v>132</v>
      </c>
      <c r="D28" s="2" t="str">
        <f aca="false">IF(C28="Yes","Present","Absent")</f>
        <v>Present</v>
      </c>
    </row>
    <row r="29" customFormat="false" ht="15" hidden="false" customHeight="false" outlineLevel="0" collapsed="false">
      <c r="A29" s="2" t="s">
        <v>45</v>
      </c>
      <c r="B29" s="8" t="n">
        <v>45474</v>
      </c>
      <c r="C29" s="2" t="s">
        <v>133</v>
      </c>
      <c r="D29" s="2" t="str">
        <f aca="false">IF(C29="Yes","Present","Absent")</f>
        <v>Absent</v>
      </c>
    </row>
    <row r="30" customFormat="false" ht="15" hidden="false" customHeight="false" outlineLevel="0" collapsed="false">
      <c r="A30" s="2" t="s">
        <v>46</v>
      </c>
      <c r="B30" s="8" t="n">
        <v>45474</v>
      </c>
      <c r="C30" s="2" t="s">
        <v>132</v>
      </c>
      <c r="D30" s="2" t="str">
        <f aca="false">IF(C30="Yes","Present","Absent")</f>
        <v>Present</v>
      </c>
    </row>
    <row r="31" customFormat="false" ht="15" hidden="false" customHeight="false" outlineLevel="0" collapsed="false">
      <c r="A31" s="2" t="s">
        <v>47</v>
      </c>
      <c r="B31" s="8" t="n">
        <v>45474</v>
      </c>
      <c r="C31" s="2" t="s">
        <v>133</v>
      </c>
      <c r="D31" s="2" t="str">
        <f aca="false">IF(C31="Yes","Present","Absent")</f>
        <v>Absent</v>
      </c>
    </row>
    <row r="32" customFormat="false" ht="15" hidden="false" customHeight="false" outlineLevel="0" collapsed="false">
      <c r="A32" s="2" t="s">
        <v>48</v>
      </c>
      <c r="B32" s="8" t="n">
        <v>45474</v>
      </c>
      <c r="C32" s="2" t="s">
        <v>132</v>
      </c>
      <c r="D32" s="2" t="str">
        <f aca="false">IF(C32="Yes","Present","Absent")</f>
        <v>Present</v>
      </c>
    </row>
    <row r="33" customFormat="false" ht="15" hidden="false" customHeight="false" outlineLevel="0" collapsed="false">
      <c r="A33" s="2" t="s">
        <v>49</v>
      </c>
      <c r="B33" s="8" t="n">
        <v>45474</v>
      </c>
      <c r="C33" s="2" t="s">
        <v>133</v>
      </c>
      <c r="D33" s="2" t="str">
        <f aca="false">IF(C33="Yes","Present","Absent")</f>
        <v>Absent</v>
      </c>
    </row>
    <row r="34" customFormat="false" ht="15" hidden="false" customHeight="false" outlineLevel="0" collapsed="false">
      <c r="A34" s="2" t="s">
        <v>50</v>
      </c>
      <c r="B34" s="8" t="n">
        <v>45474</v>
      </c>
      <c r="C34" s="2" t="s">
        <v>132</v>
      </c>
      <c r="D34" s="2" t="str">
        <f aca="false">IF(C34="Yes","Present","Absent")</f>
        <v>Present</v>
      </c>
    </row>
    <row r="35" customFormat="false" ht="15" hidden="false" customHeight="false" outlineLevel="0" collapsed="false">
      <c r="A35" s="2" t="s">
        <v>51</v>
      </c>
      <c r="B35" s="8" t="n">
        <v>45474</v>
      </c>
      <c r="C35" s="2" t="s">
        <v>133</v>
      </c>
      <c r="D35" s="2" t="str">
        <f aca="false">IF(C35="Yes","Present","Absent")</f>
        <v>Absent</v>
      </c>
    </row>
    <row r="36" customFormat="false" ht="15" hidden="false" customHeight="false" outlineLevel="0" collapsed="false">
      <c r="A36" s="2" t="s">
        <v>52</v>
      </c>
      <c r="B36" s="8" t="n">
        <v>45474</v>
      </c>
      <c r="C36" s="2" t="s">
        <v>132</v>
      </c>
      <c r="D36" s="2" t="str">
        <f aca="false">IF(C36="Yes","Present","Absent")</f>
        <v>Present</v>
      </c>
    </row>
    <row r="37" customFormat="false" ht="15" hidden="false" customHeight="false" outlineLevel="0" collapsed="false">
      <c r="A37" s="2" t="s">
        <v>53</v>
      </c>
      <c r="B37" s="8" t="n">
        <v>45474</v>
      </c>
      <c r="C37" s="2" t="s">
        <v>133</v>
      </c>
      <c r="D37" s="2" t="str">
        <f aca="false">IF(C37="Yes","Present","Absent")</f>
        <v>Absent</v>
      </c>
    </row>
    <row r="38" customFormat="false" ht="15" hidden="false" customHeight="false" outlineLevel="0" collapsed="false">
      <c r="A38" s="2" t="s">
        <v>54</v>
      </c>
      <c r="B38" s="8" t="n">
        <v>45474</v>
      </c>
      <c r="C38" s="2" t="s">
        <v>132</v>
      </c>
      <c r="D38" s="2" t="str">
        <f aca="false">IF(C38="Yes","Present","Absent")</f>
        <v>Present</v>
      </c>
    </row>
    <row r="39" customFormat="false" ht="15" hidden="false" customHeight="false" outlineLevel="0" collapsed="false">
      <c r="A39" s="2" t="s">
        <v>55</v>
      </c>
      <c r="B39" s="8" t="n">
        <v>45474</v>
      </c>
      <c r="C39" s="2" t="s">
        <v>133</v>
      </c>
      <c r="D39" s="2" t="str">
        <f aca="false">IF(C39="Yes","Present","Absent")</f>
        <v>Absent</v>
      </c>
    </row>
    <row r="40" customFormat="false" ht="15" hidden="false" customHeight="false" outlineLevel="0" collapsed="false">
      <c r="A40" s="2" t="s">
        <v>56</v>
      </c>
      <c r="B40" s="8" t="n">
        <v>45474</v>
      </c>
      <c r="C40" s="2" t="s">
        <v>132</v>
      </c>
      <c r="D40" s="2" t="str">
        <f aca="false">IF(C40="Yes","Present","Absent")</f>
        <v>Present</v>
      </c>
    </row>
    <row r="41" customFormat="false" ht="15" hidden="false" customHeight="false" outlineLevel="0" collapsed="false">
      <c r="A41" s="2" t="s">
        <v>57</v>
      </c>
      <c r="B41" s="8" t="n">
        <v>45474</v>
      </c>
      <c r="C41" s="2" t="s">
        <v>133</v>
      </c>
      <c r="D41" s="2" t="str">
        <f aca="false">IF(C41="Yes","Present","Absent")</f>
        <v>Absent</v>
      </c>
    </row>
    <row r="42" customFormat="false" ht="15" hidden="false" customHeight="false" outlineLevel="0" collapsed="false">
      <c r="A42" s="2" t="s">
        <v>58</v>
      </c>
      <c r="B42" s="8" t="n">
        <v>45474</v>
      </c>
      <c r="C42" s="2" t="s">
        <v>132</v>
      </c>
      <c r="D42" s="2" t="str">
        <f aca="false">IF(C42="Yes","Present","Absent")</f>
        <v>Present</v>
      </c>
    </row>
    <row r="43" customFormat="false" ht="15" hidden="false" customHeight="false" outlineLevel="0" collapsed="false">
      <c r="A43" s="2" t="s">
        <v>59</v>
      </c>
      <c r="B43" s="8" t="n">
        <v>45474</v>
      </c>
      <c r="C43" s="2" t="s">
        <v>133</v>
      </c>
      <c r="D43" s="2" t="str">
        <f aca="false">IF(C43="Yes","Present","Absent")</f>
        <v>Absent</v>
      </c>
    </row>
    <row r="44" customFormat="false" ht="15" hidden="false" customHeight="false" outlineLevel="0" collapsed="false">
      <c r="A44" s="2" t="s">
        <v>60</v>
      </c>
      <c r="B44" s="8" t="n">
        <v>45474</v>
      </c>
      <c r="C44" s="2" t="s">
        <v>132</v>
      </c>
      <c r="D44" s="2" t="str">
        <f aca="false">IF(C44="Yes","Present","Absent")</f>
        <v>Present</v>
      </c>
    </row>
    <row r="45" customFormat="false" ht="15" hidden="false" customHeight="false" outlineLevel="0" collapsed="false">
      <c r="A45" s="2" t="s">
        <v>61</v>
      </c>
      <c r="B45" s="8" t="n">
        <v>45474</v>
      </c>
      <c r="C45" s="2" t="s">
        <v>133</v>
      </c>
      <c r="D45" s="2" t="str">
        <f aca="false">IF(C45="Yes","Present","Absent")</f>
        <v>Absent</v>
      </c>
    </row>
    <row r="46" customFormat="false" ht="15" hidden="false" customHeight="false" outlineLevel="0" collapsed="false">
      <c r="A46" s="2" t="s">
        <v>62</v>
      </c>
      <c r="B46" s="8" t="n">
        <v>45474</v>
      </c>
      <c r="C46" s="2" t="s">
        <v>132</v>
      </c>
      <c r="D46" s="2" t="str">
        <f aca="false">IF(C46="Yes","Present","Absent")</f>
        <v>Present</v>
      </c>
    </row>
    <row r="47" customFormat="false" ht="15" hidden="false" customHeight="false" outlineLevel="0" collapsed="false">
      <c r="A47" s="2" t="s">
        <v>63</v>
      </c>
      <c r="B47" s="8" t="n">
        <v>45474</v>
      </c>
      <c r="C47" s="2" t="s">
        <v>133</v>
      </c>
      <c r="D47" s="2" t="str">
        <f aca="false">IF(C47="Yes","Present","Absent")</f>
        <v>Absent</v>
      </c>
    </row>
    <row r="48" customFormat="false" ht="15" hidden="false" customHeight="false" outlineLevel="0" collapsed="false">
      <c r="A48" s="2" t="s">
        <v>64</v>
      </c>
      <c r="B48" s="8" t="n">
        <v>45474</v>
      </c>
      <c r="C48" s="2" t="s">
        <v>132</v>
      </c>
      <c r="D48" s="2" t="str">
        <f aca="false">IF(C48="Yes","Present","Absent")</f>
        <v>Present</v>
      </c>
    </row>
    <row r="49" customFormat="false" ht="15" hidden="false" customHeight="false" outlineLevel="0" collapsed="false">
      <c r="A49" s="2" t="s">
        <v>65</v>
      </c>
      <c r="B49" s="8" t="n">
        <v>45474</v>
      </c>
      <c r="C49" s="2" t="s">
        <v>133</v>
      </c>
      <c r="D49" s="2" t="str">
        <f aca="false">IF(C49="Yes","Present","Absent")</f>
        <v>Absent</v>
      </c>
    </row>
    <row r="50" customFormat="false" ht="15" hidden="false" customHeight="false" outlineLevel="0" collapsed="false">
      <c r="A50" s="2" t="s">
        <v>66</v>
      </c>
      <c r="B50" s="8" t="n">
        <v>45474</v>
      </c>
      <c r="C50" s="2" t="s">
        <v>132</v>
      </c>
      <c r="D50" s="2" t="str">
        <f aca="false">IF(C50="Yes","Present","Absent")</f>
        <v>Present</v>
      </c>
    </row>
    <row r="51" customFormat="false" ht="15" hidden="false" customHeight="false" outlineLevel="0" collapsed="false">
      <c r="A51" s="2" t="s">
        <v>67</v>
      </c>
      <c r="B51" s="8" t="n">
        <v>45474</v>
      </c>
      <c r="C51" s="2" t="s">
        <v>133</v>
      </c>
      <c r="D51" s="2" t="str">
        <f aca="false">IF(C51="Yes","Present","Absent")</f>
        <v>Absent</v>
      </c>
    </row>
    <row r="52" customFormat="false" ht="15" hidden="false" customHeight="false" outlineLevel="0" collapsed="false">
      <c r="A52" s="2" t="s">
        <v>10</v>
      </c>
      <c r="B52" s="8" t="n">
        <v>45475</v>
      </c>
      <c r="C52" s="2" t="s">
        <v>133</v>
      </c>
      <c r="D52" s="2" t="str">
        <f aca="false">IF(C52="Yes","Present","Absent")</f>
        <v>Absent</v>
      </c>
    </row>
    <row r="53" customFormat="false" ht="15" hidden="false" customHeight="false" outlineLevel="0" collapsed="false">
      <c r="A53" s="2" t="s">
        <v>12</v>
      </c>
      <c r="B53" s="8" t="n">
        <v>45475</v>
      </c>
      <c r="C53" s="2" t="s">
        <v>132</v>
      </c>
      <c r="D53" s="2" t="str">
        <f aca="false">IF(C53="Yes","Present","Absent")</f>
        <v>Present</v>
      </c>
    </row>
    <row r="54" customFormat="false" ht="15" hidden="false" customHeight="false" outlineLevel="0" collapsed="false">
      <c r="A54" s="2" t="s">
        <v>14</v>
      </c>
      <c r="B54" s="8" t="n">
        <v>45475</v>
      </c>
      <c r="C54" s="2" t="s">
        <v>133</v>
      </c>
      <c r="D54" s="2" t="str">
        <f aca="false">IF(C54="Yes","Present","Absent")</f>
        <v>Absent</v>
      </c>
    </row>
    <row r="55" customFormat="false" ht="15" hidden="false" customHeight="false" outlineLevel="0" collapsed="false">
      <c r="A55" s="2" t="s">
        <v>16</v>
      </c>
      <c r="B55" s="8" t="n">
        <v>45475</v>
      </c>
      <c r="C55" s="2" t="s">
        <v>133</v>
      </c>
      <c r="D55" s="2" t="str">
        <f aca="false">IF(C55="Yes","Present","Absent")</f>
        <v>Absent</v>
      </c>
    </row>
    <row r="56" customFormat="false" ht="15" hidden="false" customHeight="false" outlineLevel="0" collapsed="false">
      <c r="A56" s="2" t="s">
        <v>18</v>
      </c>
      <c r="B56" s="8" t="n">
        <v>45475</v>
      </c>
      <c r="C56" s="2" t="s">
        <v>133</v>
      </c>
      <c r="D56" s="2" t="str">
        <f aca="false">IF(C56="Yes","Present","Absent")</f>
        <v>Absent</v>
      </c>
    </row>
    <row r="57" customFormat="false" ht="15" hidden="false" customHeight="false" outlineLevel="0" collapsed="false">
      <c r="A57" s="2" t="s">
        <v>20</v>
      </c>
      <c r="B57" s="8" t="n">
        <v>45475</v>
      </c>
      <c r="C57" s="2" t="s">
        <v>133</v>
      </c>
      <c r="D57" s="2" t="str">
        <f aca="false">IF(C57="Yes","Present","Absent")</f>
        <v>Absent</v>
      </c>
    </row>
    <row r="58" customFormat="false" ht="15" hidden="false" customHeight="false" outlineLevel="0" collapsed="false">
      <c r="A58" s="2" t="s">
        <v>21</v>
      </c>
      <c r="B58" s="8" t="n">
        <v>45475</v>
      </c>
      <c r="C58" s="2" t="s">
        <v>133</v>
      </c>
      <c r="D58" s="2" t="str">
        <f aca="false">IF(C58="Yes","Present","Absent")</f>
        <v>Absent</v>
      </c>
    </row>
    <row r="59" customFormat="false" ht="15" hidden="false" customHeight="false" outlineLevel="0" collapsed="false">
      <c r="A59" s="2" t="s">
        <v>23</v>
      </c>
      <c r="B59" s="8" t="n">
        <v>45475</v>
      </c>
      <c r="C59" s="2" t="s">
        <v>132</v>
      </c>
      <c r="D59" s="2" t="str">
        <f aca="false">IF(C59="Yes","Present","Absent")</f>
        <v>Present</v>
      </c>
    </row>
    <row r="60" customFormat="false" ht="15" hidden="false" customHeight="false" outlineLevel="0" collapsed="false">
      <c r="A60" s="2" t="s">
        <v>25</v>
      </c>
      <c r="B60" s="8" t="n">
        <v>45475</v>
      </c>
      <c r="C60" s="2" t="s">
        <v>132</v>
      </c>
      <c r="D60" s="2" t="str">
        <f aca="false">IF(C60="Yes","Present","Absent")</f>
        <v>Present</v>
      </c>
    </row>
    <row r="61" customFormat="false" ht="15" hidden="false" customHeight="false" outlineLevel="0" collapsed="false">
      <c r="A61" s="2" t="s">
        <v>27</v>
      </c>
      <c r="B61" s="8" t="n">
        <v>45475</v>
      </c>
      <c r="C61" s="2" t="s">
        <v>132</v>
      </c>
      <c r="D61" s="2" t="str">
        <f aca="false">IF(C61="Yes","Present","Absent")</f>
        <v>Present</v>
      </c>
    </row>
    <row r="62" customFormat="false" ht="15" hidden="false" customHeight="false" outlineLevel="0" collapsed="false">
      <c r="A62" s="2" t="s">
        <v>28</v>
      </c>
      <c r="B62" s="8" t="n">
        <v>45475</v>
      </c>
      <c r="C62" s="2" t="s">
        <v>133</v>
      </c>
      <c r="D62" s="2" t="str">
        <f aca="false">IF(C62="Yes","Present","Absent")</f>
        <v>Absent</v>
      </c>
    </row>
    <row r="63" customFormat="false" ht="15" hidden="false" customHeight="false" outlineLevel="0" collapsed="false">
      <c r="A63" s="2" t="s">
        <v>29</v>
      </c>
      <c r="B63" s="8" t="n">
        <v>45475</v>
      </c>
      <c r="C63" s="2" t="s">
        <v>133</v>
      </c>
      <c r="D63" s="2" t="str">
        <f aca="false">IF(C63="Yes","Present","Absent")</f>
        <v>Absent</v>
      </c>
    </row>
    <row r="64" customFormat="false" ht="15" hidden="false" customHeight="false" outlineLevel="0" collapsed="false">
      <c r="A64" s="2" t="s">
        <v>30</v>
      </c>
      <c r="B64" s="8" t="n">
        <v>45475</v>
      </c>
      <c r="C64" s="2" t="s">
        <v>132</v>
      </c>
      <c r="D64" s="2" t="str">
        <f aca="false">IF(C64="Yes","Present","Absent")</f>
        <v>Present</v>
      </c>
    </row>
    <row r="65" customFormat="false" ht="15" hidden="false" customHeight="false" outlineLevel="0" collapsed="false">
      <c r="A65" s="2" t="s">
        <v>31</v>
      </c>
      <c r="B65" s="8" t="n">
        <v>45475</v>
      </c>
      <c r="C65" s="2" t="s">
        <v>132</v>
      </c>
      <c r="D65" s="2" t="str">
        <f aca="false">IF(C65="Yes","Present","Absent")</f>
        <v>Present</v>
      </c>
    </row>
    <row r="66" customFormat="false" ht="15" hidden="false" customHeight="false" outlineLevel="0" collapsed="false">
      <c r="A66" s="2" t="s">
        <v>32</v>
      </c>
      <c r="B66" s="8" t="n">
        <v>45475</v>
      </c>
      <c r="C66" s="2" t="s">
        <v>132</v>
      </c>
      <c r="D66" s="2" t="str">
        <f aca="false">IF(C66="Yes","Present","Absent")</f>
        <v>Present</v>
      </c>
    </row>
    <row r="67" customFormat="false" ht="15" hidden="false" customHeight="false" outlineLevel="0" collapsed="false">
      <c r="A67" s="2" t="s">
        <v>33</v>
      </c>
      <c r="B67" s="8" t="n">
        <v>45475</v>
      </c>
      <c r="C67" s="2" t="s">
        <v>133</v>
      </c>
      <c r="D67" s="2" t="str">
        <f aca="false">IF(C67="Yes","Present","Absent")</f>
        <v>Absent</v>
      </c>
    </row>
    <row r="68" customFormat="false" ht="15" hidden="false" customHeight="false" outlineLevel="0" collapsed="false">
      <c r="A68" s="2" t="s">
        <v>34</v>
      </c>
      <c r="B68" s="8" t="n">
        <v>45475</v>
      </c>
      <c r="C68" s="2" t="s">
        <v>133</v>
      </c>
      <c r="D68" s="2" t="str">
        <f aca="false">IF(C68="Yes","Present","Absent")</f>
        <v>Absent</v>
      </c>
    </row>
    <row r="69" customFormat="false" ht="15" hidden="false" customHeight="false" outlineLevel="0" collapsed="false">
      <c r="A69" s="2" t="s">
        <v>35</v>
      </c>
      <c r="B69" s="8" t="n">
        <v>45475</v>
      </c>
      <c r="C69" s="2" t="s">
        <v>132</v>
      </c>
      <c r="D69" s="2" t="str">
        <f aca="false">IF(C69="Yes","Present","Absent")</f>
        <v>Present</v>
      </c>
    </row>
    <row r="70" customFormat="false" ht="15" hidden="false" customHeight="false" outlineLevel="0" collapsed="false">
      <c r="A70" s="2" t="s">
        <v>36</v>
      </c>
      <c r="B70" s="8" t="n">
        <v>45475</v>
      </c>
      <c r="C70" s="2" t="s">
        <v>132</v>
      </c>
      <c r="D70" s="2" t="str">
        <f aca="false">IF(C70="Yes","Present","Absent")</f>
        <v>Present</v>
      </c>
    </row>
    <row r="71" customFormat="false" ht="15" hidden="false" customHeight="false" outlineLevel="0" collapsed="false">
      <c r="A71" s="2" t="s">
        <v>37</v>
      </c>
      <c r="B71" s="8" t="n">
        <v>45475</v>
      </c>
      <c r="C71" s="2" t="s">
        <v>133</v>
      </c>
      <c r="D71" s="2" t="str">
        <f aca="false">IF(C71="Yes","Present","Absent")</f>
        <v>Absent</v>
      </c>
    </row>
    <row r="72" customFormat="false" ht="15" hidden="false" customHeight="false" outlineLevel="0" collapsed="false">
      <c r="A72" s="2" t="s">
        <v>38</v>
      </c>
      <c r="B72" s="8" t="n">
        <v>45475</v>
      </c>
      <c r="C72" s="2" t="s">
        <v>133</v>
      </c>
      <c r="D72" s="2" t="str">
        <f aca="false">IF(C72="Yes","Present","Absent")</f>
        <v>Absent</v>
      </c>
    </row>
    <row r="73" customFormat="false" ht="15" hidden="false" customHeight="false" outlineLevel="0" collapsed="false">
      <c r="A73" s="2" t="s">
        <v>39</v>
      </c>
      <c r="B73" s="8" t="n">
        <v>45475</v>
      </c>
      <c r="C73" s="2" t="s">
        <v>132</v>
      </c>
      <c r="D73" s="2" t="str">
        <f aca="false">IF(C73="Yes","Present","Absent")</f>
        <v>Present</v>
      </c>
    </row>
    <row r="74" customFormat="false" ht="15" hidden="false" customHeight="false" outlineLevel="0" collapsed="false">
      <c r="A74" s="2" t="s">
        <v>40</v>
      </c>
      <c r="B74" s="8" t="n">
        <v>45475</v>
      </c>
      <c r="C74" s="2" t="s">
        <v>132</v>
      </c>
      <c r="D74" s="2" t="str">
        <f aca="false">IF(C74="Yes","Present","Absent")</f>
        <v>Present</v>
      </c>
    </row>
    <row r="75" customFormat="false" ht="15" hidden="false" customHeight="false" outlineLevel="0" collapsed="false">
      <c r="A75" s="2" t="s">
        <v>41</v>
      </c>
      <c r="B75" s="8" t="n">
        <v>45475</v>
      </c>
      <c r="C75" s="2" t="s">
        <v>132</v>
      </c>
      <c r="D75" s="2" t="str">
        <f aca="false">IF(C75="Yes","Present","Absent")</f>
        <v>Present</v>
      </c>
    </row>
    <row r="76" customFormat="false" ht="15" hidden="false" customHeight="false" outlineLevel="0" collapsed="false">
      <c r="A76" s="2" t="s">
        <v>42</v>
      </c>
      <c r="B76" s="8" t="n">
        <v>45475</v>
      </c>
      <c r="C76" s="2" t="s">
        <v>133</v>
      </c>
      <c r="D76" s="2" t="str">
        <f aca="false">IF(C76="Yes","Present","Absent")</f>
        <v>Absent</v>
      </c>
    </row>
    <row r="77" customFormat="false" ht="15" hidden="false" customHeight="false" outlineLevel="0" collapsed="false">
      <c r="A77" s="2" t="s">
        <v>43</v>
      </c>
      <c r="B77" s="8" t="n">
        <v>45475</v>
      </c>
      <c r="C77" s="2" t="s">
        <v>132</v>
      </c>
      <c r="D77" s="2" t="str">
        <f aca="false">IF(C77="Yes","Present","Absent")</f>
        <v>Present</v>
      </c>
    </row>
    <row r="78" customFormat="false" ht="15" hidden="false" customHeight="false" outlineLevel="0" collapsed="false">
      <c r="A78" s="2" t="s">
        <v>44</v>
      </c>
      <c r="B78" s="8" t="n">
        <v>45475</v>
      </c>
      <c r="C78" s="2" t="s">
        <v>132</v>
      </c>
      <c r="D78" s="2" t="str">
        <f aca="false">IF(C78="Yes","Present","Absent")</f>
        <v>Present</v>
      </c>
    </row>
    <row r="79" customFormat="false" ht="15" hidden="false" customHeight="false" outlineLevel="0" collapsed="false">
      <c r="A79" s="2" t="s">
        <v>45</v>
      </c>
      <c r="B79" s="8" t="n">
        <v>45475</v>
      </c>
      <c r="C79" s="2" t="s">
        <v>133</v>
      </c>
      <c r="D79" s="2" t="str">
        <f aca="false">IF(C79="Yes","Present","Absent")</f>
        <v>Absent</v>
      </c>
    </row>
    <row r="80" customFormat="false" ht="15" hidden="false" customHeight="false" outlineLevel="0" collapsed="false">
      <c r="A80" s="2" t="s">
        <v>46</v>
      </c>
      <c r="B80" s="8" t="n">
        <v>45475</v>
      </c>
      <c r="C80" s="2" t="s">
        <v>133</v>
      </c>
      <c r="D80" s="2" t="str">
        <f aca="false">IF(C80="Yes","Present","Absent")</f>
        <v>Absent</v>
      </c>
    </row>
    <row r="81" customFormat="false" ht="15" hidden="false" customHeight="false" outlineLevel="0" collapsed="false">
      <c r="A81" s="2" t="s">
        <v>47</v>
      </c>
      <c r="B81" s="8" t="n">
        <v>45475</v>
      </c>
      <c r="C81" s="2" t="s">
        <v>132</v>
      </c>
      <c r="D81" s="2" t="str">
        <f aca="false">IF(C81="Yes","Present","Absent")</f>
        <v>Present</v>
      </c>
    </row>
    <row r="82" customFormat="false" ht="15" hidden="false" customHeight="false" outlineLevel="0" collapsed="false">
      <c r="A82" s="2" t="s">
        <v>48</v>
      </c>
      <c r="B82" s="8" t="n">
        <v>45475</v>
      </c>
      <c r="C82" s="2" t="s">
        <v>133</v>
      </c>
      <c r="D82" s="2" t="str">
        <f aca="false">IF(C82="Yes","Present","Absent")</f>
        <v>Absent</v>
      </c>
    </row>
    <row r="83" customFormat="false" ht="15" hidden="false" customHeight="false" outlineLevel="0" collapsed="false">
      <c r="A83" s="2" t="s">
        <v>49</v>
      </c>
      <c r="B83" s="8" t="n">
        <v>45475</v>
      </c>
      <c r="C83" s="2" t="s">
        <v>133</v>
      </c>
      <c r="D83" s="2" t="str">
        <f aca="false">IF(C83="Yes","Present","Absent")</f>
        <v>Absent</v>
      </c>
    </row>
    <row r="84" customFormat="false" ht="15" hidden="false" customHeight="false" outlineLevel="0" collapsed="false">
      <c r="A84" s="2" t="s">
        <v>50</v>
      </c>
      <c r="B84" s="8" t="n">
        <v>45475</v>
      </c>
      <c r="C84" s="2" t="s">
        <v>132</v>
      </c>
      <c r="D84" s="2" t="str">
        <f aca="false">IF(C84="Yes","Present","Absent")</f>
        <v>Present</v>
      </c>
    </row>
    <row r="85" customFormat="false" ht="15" hidden="false" customHeight="false" outlineLevel="0" collapsed="false">
      <c r="A85" s="2" t="s">
        <v>51</v>
      </c>
      <c r="B85" s="8" t="n">
        <v>45475</v>
      </c>
      <c r="C85" s="2" t="s">
        <v>133</v>
      </c>
      <c r="D85" s="2" t="str">
        <f aca="false">IF(C85="Yes","Present","Absent")</f>
        <v>Absent</v>
      </c>
    </row>
    <row r="86" customFormat="false" ht="15" hidden="false" customHeight="false" outlineLevel="0" collapsed="false">
      <c r="A86" s="2" t="s">
        <v>52</v>
      </c>
      <c r="B86" s="8" t="n">
        <v>45475</v>
      </c>
      <c r="C86" s="2" t="s">
        <v>132</v>
      </c>
      <c r="D86" s="2" t="str">
        <f aca="false">IF(C86="Yes","Present","Absent")</f>
        <v>Present</v>
      </c>
    </row>
    <row r="87" customFormat="false" ht="15" hidden="false" customHeight="false" outlineLevel="0" collapsed="false">
      <c r="A87" s="2" t="s">
        <v>53</v>
      </c>
      <c r="B87" s="8" t="n">
        <v>45475</v>
      </c>
      <c r="C87" s="2" t="s">
        <v>132</v>
      </c>
      <c r="D87" s="2" t="str">
        <f aca="false">IF(C87="Yes","Present","Absent")</f>
        <v>Present</v>
      </c>
    </row>
    <row r="88" customFormat="false" ht="15" hidden="false" customHeight="false" outlineLevel="0" collapsed="false">
      <c r="A88" s="2" t="s">
        <v>54</v>
      </c>
      <c r="B88" s="8" t="n">
        <v>45475</v>
      </c>
      <c r="C88" s="2" t="s">
        <v>132</v>
      </c>
      <c r="D88" s="2" t="str">
        <f aca="false">IF(C88="Yes","Present","Absent")</f>
        <v>Present</v>
      </c>
    </row>
    <row r="89" customFormat="false" ht="15" hidden="false" customHeight="false" outlineLevel="0" collapsed="false">
      <c r="A89" s="2" t="s">
        <v>55</v>
      </c>
      <c r="B89" s="8" t="n">
        <v>45475</v>
      </c>
      <c r="C89" s="2" t="s">
        <v>132</v>
      </c>
      <c r="D89" s="2" t="str">
        <f aca="false">IF(C89="Yes","Present","Absent")</f>
        <v>Present</v>
      </c>
    </row>
    <row r="90" customFormat="false" ht="15" hidden="false" customHeight="false" outlineLevel="0" collapsed="false">
      <c r="A90" s="2" t="s">
        <v>56</v>
      </c>
      <c r="B90" s="8" t="n">
        <v>45475</v>
      </c>
      <c r="C90" s="2" t="s">
        <v>132</v>
      </c>
      <c r="D90" s="2" t="str">
        <f aca="false">IF(C90="Yes","Present","Absent")</f>
        <v>Present</v>
      </c>
    </row>
    <row r="91" customFormat="false" ht="15" hidden="false" customHeight="false" outlineLevel="0" collapsed="false">
      <c r="A91" s="2" t="s">
        <v>57</v>
      </c>
      <c r="B91" s="8" t="n">
        <v>45475</v>
      </c>
      <c r="C91" s="2" t="s">
        <v>133</v>
      </c>
      <c r="D91" s="2" t="str">
        <f aca="false">IF(C91="Yes","Present","Absent")</f>
        <v>Absent</v>
      </c>
    </row>
    <row r="92" customFormat="false" ht="15" hidden="false" customHeight="false" outlineLevel="0" collapsed="false">
      <c r="A92" s="2" t="s">
        <v>58</v>
      </c>
      <c r="B92" s="8" t="n">
        <v>45475</v>
      </c>
      <c r="C92" s="2" t="s">
        <v>133</v>
      </c>
      <c r="D92" s="2" t="str">
        <f aca="false">IF(C92="Yes","Present","Absent")</f>
        <v>Absent</v>
      </c>
    </row>
    <row r="93" customFormat="false" ht="15" hidden="false" customHeight="false" outlineLevel="0" collapsed="false">
      <c r="A93" s="2" t="s">
        <v>59</v>
      </c>
      <c r="B93" s="8" t="n">
        <v>45475</v>
      </c>
      <c r="C93" s="2" t="s">
        <v>133</v>
      </c>
      <c r="D93" s="2" t="str">
        <f aca="false">IF(C93="Yes","Present","Absent")</f>
        <v>Absent</v>
      </c>
    </row>
    <row r="94" customFormat="false" ht="15" hidden="false" customHeight="false" outlineLevel="0" collapsed="false">
      <c r="A94" s="2" t="s">
        <v>60</v>
      </c>
      <c r="B94" s="8" t="n">
        <v>45475</v>
      </c>
      <c r="C94" s="2" t="s">
        <v>132</v>
      </c>
      <c r="D94" s="2" t="str">
        <f aca="false">IF(C94="Yes","Present","Absent")</f>
        <v>Present</v>
      </c>
    </row>
    <row r="95" customFormat="false" ht="15" hidden="false" customHeight="false" outlineLevel="0" collapsed="false">
      <c r="A95" s="2" t="s">
        <v>61</v>
      </c>
      <c r="B95" s="8" t="n">
        <v>45475</v>
      </c>
      <c r="C95" s="2" t="s">
        <v>132</v>
      </c>
      <c r="D95" s="2" t="str">
        <f aca="false">IF(C95="Yes","Present","Absent")</f>
        <v>Present</v>
      </c>
    </row>
    <row r="96" customFormat="false" ht="15" hidden="false" customHeight="false" outlineLevel="0" collapsed="false">
      <c r="A96" s="2" t="s">
        <v>62</v>
      </c>
      <c r="B96" s="8" t="n">
        <v>45475</v>
      </c>
      <c r="C96" s="2" t="s">
        <v>133</v>
      </c>
      <c r="D96" s="2" t="str">
        <f aca="false">IF(C96="Yes","Present","Absent")</f>
        <v>Absent</v>
      </c>
    </row>
    <row r="97" customFormat="false" ht="15" hidden="false" customHeight="false" outlineLevel="0" collapsed="false">
      <c r="A97" s="2" t="s">
        <v>63</v>
      </c>
      <c r="B97" s="8" t="n">
        <v>45475</v>
      </c>
      <c r="C97" s="2" t="s">
        <v>132</v>
      </c>
      <c r="D97" s="2" t="str">
        <f aca="false">IF(C97="Yes","Present","Absent")</f>
        <v>Present</v>
      </c>
    </row>
    <row r="98" customFormat="false" ht="15" hidden="false" customHeight="false" outlineLevel="0" collapsed="false">
      <c r="A98" s="2" t="s">
        <v>64</v>
      </c>
      <c r="B98" s="8" t="n">
        <v>45475</v>
      </c>
      <c r="C98" s="2" t="s">
        <v>132</v>
      </c>
      <c r="D98" s="2" t="str">
        <f aca="false">IF(C98="Yes","Present","Absent")</f>
        <v>Present</v>
      </c>
    </row>
    <row r="99" customFormat="false" ht="15" hidden="false" customHeight="false" outlineLevel="0" collapsed="false">
      <c r="A99" s="2" t="s">
        <v>65</v>
      </c>
      <c r="B99" s="8" t="n">
        <v>45475</v>
      </c>
      <c r="C99" s="2" t="s">
        <v>133</v>
      </c>
      <c r="D99" s="2" t="str">
        <f aca="false">IF(C99="Yes","Present","Absent")</f>
        <v>Absent</v>
      </c>
    </row>
    <row r="100" customFormat="false" ht="15" hidden="false" customHeight="false" outlineLevel="0" collapsed="false">
      <c r="A100" s="2" t="s">
        <v>66</v>
      </c>
      <c r="B100" s="8" t="n">
        <v>45475</v>
      </c>
      <c r="C100" s="2" t="s">
        <v>133</v>
      </c>
      <c r="D100" s="2" t="str">
        <f aca="false">IF(C100="Yes","Present","Absent")</f>
        <v>Absent</v>
      </c>
    </row>
    <row r="101" customFormat="false" ht="15" hidden="false" customHeight="false" outlineLevel="0" collapsed="false">
      <c r="A101" s="2" t="s">
        <v>67</v>
      </c>
      <c r="B101" s="8" t="n">
        <v>45475</v>
      </c>
      <c r="C101" s="2" t="s">
        <v>133</v>
      </c>
      <c r="D101" s="2" t="str">
        <f aca="false">IF(C101="Yes","Present","Absent")</f>
        <v>Absent</v>
      </c>
    </row>
    <row r="102" customFormat="false" ht="15" hidden="false" customHeight="false" outlineLevel="0" collapsed="false">
      <c r="A102" s="2" t="s">
        <v>10</v>
      </c>
      <c r="B102" s="8" t="n">
        <v>45476</v>
      </c>
      <c r="C102" s="2" t="s">
        <v>133</v>
      </c>
      <c r="D102" s="2" t="str">
        <f aca="false">IF(C102="Yes","Present","Absent")</f>
        <v>Absent</v>
      </c>
    </row>
    <row r="103" customFormat="false" ht="15" hidden="false" customHeight="false" outlineLevel="0" collapsed="false">
      <c r="A103" s="2" t="s">
        <v>12</v>
      </c>
      <c r="B103" s="8" t="n">
        <v>45476</v>
      </c>
      <c r="C103" s="2" t="s">
        <v>132</v>
      </c>
      <c r="D103" s="2" t="str">
        <f aca="false">IF(C103="Yes","Present","Absent")</f>
        <v>Present</v>
      </c>
    </row>
    <row r="104" customFormat="false" ht="15" hidden="false" customHeight="false" outlineLevel="0" collapsed="false">
      <c r="A104" s="2" t="s">
        <v>14</v>
      </c>
      <c r="B104" s="8" t="n">
        <v>45476</v>
      </c>
      <c r="C104" s="2" t="s">
        <v>132</v>
      </c>
      <c r="D104" s="2" t="str">
        <f aca="false">IF(C104="Yes","Present","Absent")</f>
        <v>Present</v>
      </c>
    </row>
    <row r="105" customFormat="false" ht="15" hidden="false" customHeight="false" outlineLevel="0" collapsed="false">
      <c r="A105" s="2" t="s">
        <v>16</v>
      </c>
      <c r="B105" s="8" t="n">
        <v>45476</v>
      </c>
      <c r="C105" s="2" t="s">
        <v>132</v>
      </c>
      <c r="D105" s="2" t="str">
        <f aca="false">IF(C105="Yes","Present","Absent")</f>
        <v>Present</v>
      </c>
    </row>
    <row r="106" customFormat="false" ht="15" hidden="false" customHeight="false" outlineLevel="0" collapsed="false">
      <c r="A106" s="2" t="s">
        <v>18</v>
      </c>
      <c r="B106" s="8" t="n">
        <v>45476</v>
      </c>
      <c r="C106" s="2" t="s">
        <v>132</v>
      </c>
      <c r="D106" s="2" t="str">
        <f aca="false">IF(C106="Yes","Present","Absent")</f>
        <v>Present</v>
      </c>
    </row>
    <row r="107" customFormat="false" ht="15" hidden="false" customHeight="false" outlineLevel="0" collapsed="false">
      <c r="A107" s="2" t="s">
        <v>20</v>
      </c>
      <c r="B107" s="8" t="n">
        <v>45476</v>
      </c>
      <c r="C107" s="2" t="s">
        <v>132</v>
      </c>
      <c r="D107" s="2" t="str">
        <f aca="false">IF(C107="Yes","Present","Absent")</f>
        <v>Present</v>
      </c>
    </row>
    <row r="108" customFormat="false" ht="15" hidden="false" customHeight="false" outlineLevel="0" collapsed="false">
      <c r="A108" s="2" t="s">
        <v>21</v>
      </c>
      <c r="B108" s="8" t="n">
        <v>45476</v>
      </c>
      <c r="C108" s="2" t="s">
        <v>132</v>
      </c>
      <c r="D108" s="2" t="str">
        <f aca="false">IF(C108="Yes","Present","Absent")</f>
        <v>Present</v>
      </c>
    </row>
    <row r="109" customFormat="false" ht="15" hidden="false" customHeight="false" outlineLevel="0" collapsed="false">
      <c r="A109" s="2" t="s">
        <v>23</v>
      </c>
      <c r="B109" s="8" t="n">
        <v>45476</v>
      </c>
      <c r="C109" s="2" t="s">
        <v>132</v>
      </c>
      <c r="D109" s="2" t="str">
        <f aca="false">IF(C109="Yes","Present","Absent")</f>
        <v>Present</v>
      </c>
    </row>
    <row r="110" customFormat="false" ht="15" hidden="false" customHeight="false" outlineLevel="0" collapsed="false">
      <c r="A110" s="2" t="s">
        <v>25</v>
      </c>
      <c r="B110" s="8" t="n">
        <v>45476</v>
      </c>
      <c r="C110" s="2" t="s">
        <v>132</v>
      </c>
      <c r="D110" s="2" t="str">
        <f aca="false">IF(C110="Yes","Present","Absent")</f>
        <v>Present</v>
      </c>
    </row>
    <row r="111" customFormat="false" ht="15" hidden="false" customHeight="false" outlineLevel="0" collapsed="false">
      <c r="A111" s="2" t="s">
        <v>27</v>
      </c>
      <c r="B111" s="8" t="n">
        <v>45476</v>
      </c>
      <c r="C111" s="2" t="s">
        <v>132</v>
      </c>
      <c r="D111" s="2" t="str">
        <f aca="false">IF(C111="Yes","Present","Absent")</f>
        <v>Present</v>
      </c>
    </row>
    <row r="112" customFormat="false" ht="15" hidden="false" customHeight="false" outlineLevel="0" collapsed="false">
      <c r="A112" s="2" t="s">
        <v>28</v>
      </c>
      <c r="B112" s="8" t="n">
        <v>45476</v>
      </c>
      <c r="C112" s="2" t="s">
        <v>132</v>
      </c>
      <c r="D112" s="2" t="str">
        <f aca="false">IF(C112="Yes","Present","Absent")</f>
        <v>Present</v>
      </c>
    </row>
    <row r="113" customFormat="false" ht="15" hidden="false" customHeight="false" outlineLevel="0" collapsed="false">
      <c r="A113" s="2" t="s">
        <v>29</v>
      </c>
      <c r="B113" s="8" t="n">
        <v>45476</v>
      </c>
      <c r="C113" s="2" t="s">
        <v>133</v>
      </c>
      <c r="D113" s="2" t="str">
        <f aca="false">IF(C113="Yes","Present","Absent")</f>
        <v>Absent</v>
      </c>
    </row>
    <row r="114" customFormat="false" ht="15" hidden="false" customHeight="false" outlineLevel="0" collapsed="false">
      <c r="A114" s="2" t="s">
        <v>30</v>
      </c>
      <c r="B114" s="8" t="n">
        <v>45476</v>
      </c>
      <c r="C114" s="2" t="s">
        <v>133</v>
      </c>
      <c r="D114" s="2" t="str">
        <f aca="false">IF(C114="Yes","Present","Absent")</f>
        <v>Absent</v>
      </c>
    </row>
    <row r="115" customFormat="false" ht="15" hidden="false" customHeight="false" outlineLevel="0" collapsed="false">
      <c r="A115" s="2" t="s">
        <v>31</v>
      </c>
      <c r="B115" s="8" t="n">
        <v>45476</v>
      </c>
      <c r="C115" s="2" t="s">
        <v>133</v>
      </c>
      <c r="D115" s="2" t="str">
        <f aca="false">IF(C115="Yes","Present","Absent")</f>
        <v>Absent</v>
      </c>
    </row>
    <row r="116" customFormat="false" ht="15" hidden="false" customHeight="false" outlineLevel="0" collapsed="false">
      <c r="A116" s="2" t="s">
        <v>32</v>
      </c>
      <c r="B116" s="8" t="n">
        <v>45476</v>
      </c>
      <c r="C116" s="2" t="s">
        <v>133</v>
      </c>
      <c r="D116" s="2" t="str">
        <f aca="false">IF(C116="Yes","Present","Absent")</f>
        <v>Absent</v>
      </c>
    </row>
    <row r="117" customFormat="false" ht="15" hidden="false" customHeight="false" outlineLevel="0" collapsed="false">
      <c r="A117" s="2" t="s">
        <v>33</v>
      </c>
      <c r="B117" s="8" t="n">
        <v>45476</v>
      </c>
      <c r="C117" s="2" t="s">
        <v>133</v>
      </c>
      <c r="D117" s="2" t="str">
        <f aca="false">IF(C117="Yes","Present","Absent")</f>
        <v>Absent</v>
      </c>
    </row>
    <row r="118" customFormat="false" ht="15" hidden="false" customHeight="false" outlineLevel="0" collapsed="false">
      <c r="A118" s="2" t="s">
        <v>34</v>
      </c>
      <c r="B118" s="8" t="n">
        <v>45476</v>
      </c>
      <c r="C118" s="2" t="s">
        <v>132</v>
      </c>
      <c r="D118" s="2" t="str">
        <f aca="false">IF(C118="Yes","Present","Absent")</f>
        <v>Present</v>
      </c>
    </row>
    <row r="119" customFormat="false" ht="15" hidden="false" customHeight="false" outlineLevel="0" collapsed="false">
      <c r="A119" s="2" t="s">
        <v>35</v>
      </c>
      <c r="B119" s="8" t="n">
        <v>45476</v>
      </c>
      <c r="C119" s="2" t="s">
        <v>132</v>
      </c>
      <c r="D119" s="2" t="str">
        <f aca="false">IF(C119="Yes","Present","Absent")</f>
        <v>Present</v>
      </c>
    </row>
    <row r="120" customFormat="false" ht="15" hidden="false" customHeight="false" outlineLevel="0" collapsed="false">
      <c r="A120" s="2" t="s">
        <v>36</v>
      </c>
      <c r="B120" s="8" t="n">
        <v>45476</v>
      </c>
      <c r="C120" s="2" t="s">
        <v>132</v>
      </c>
      <c r="D120" s="2" t="str">
        <f aca="false">IF(C120="Yes","Present","Absent")</f>
        <v>Present</v>
      </c>
    </row>
    <row r="121" customFormat="false" ht="15" hidden="false" customHeight="false" outlineLevel="0" collapsed="false">
      <c r="A121" s="2" t="s">
        <v>37</v>
      </c>
      <c r="B121" s="8" t="n">
        <v>45476</v>
      </c>
      <c r="C121" s="2" t="s">
        <v>133</v>
      </c>
      <c r="D121" s="2" t="str">
        <f aca="false">IF(C121="Yes","Present","Absent")</f>
        <v>Absent</v>
      </c>
    </row>
    <row r="122" customFormat="false" ht="15" hidden="false" customHeight="false" outlineLevel="0" collapsed="false">
      <c r="A122" s="2" t="s">
        <v>38</v>
      </c>
      <c r="B122" s="8" t="n">
        <v>45476</v>
      </c>
      <c r="C122" s="2" t="s">
        <v>132</v>
      </c>
      <c r="D122" s="2" t="str">
        <f aca="false">IF(C122="Yes","Present","Absent")</f>
        <v>Present</v>
      </c>
    </row>
    <row r="123" customFormat="false" ht="15" hidden="false" customHeight="false" outlineLevel="0" collapsed="false">
      <c r="A123" s="2" t="s">
        <v>39</v>
      </c>
      <c r="B123" s="8" t="n">
        <v>45476</v>
      </c>
      <c r="C123" s="2" t="s">
        <v>133</v>
      </c>
      <c r="D123" s="2" t="str">
        <f aca="false">IF(C123="Yes","Present","Absent")</f>
        <v>Absent</v>
      </c>
    </row>
    <row r="124" customFormat="false" ht="15" hidden="false" customHeight="false" outlineLevel="0" collapsed="false">
      <c r="A124" s="2" t="s">
        <v>40</v>
      </c>
      <c r="B124" s="8" t="n">
        <v>45476</v>
      </c>
      <c r="C124" s="2" t="s">
        <v>133</v>
      </c>
      <c r="D124" s="2" t="str">
        <f aca="false">IF(C124="Yes","Present","Absent")</f>
        <v>Absent</v>
      </c>
    </row>
    <row r="125" customFormat="false" ht="15" hidden="false" customHeight="false" outlineLevel="0" collapsed="false">
      <c r="A125" s="2" t="s">
        <v>41</v>
      </c>
      <c r="B125" s="8" t="n">
        <v>45476</v>
      </c>
      <c r="C125" s="2" t="s">
        <v>132</v>
      </c>
      <c r="D125" s="2" t="str">
        <f aca="false">IF(C125="Yes","Present","Absent")</f>
        <v>Present</v>
      </c>
    </row>
    <row r="126" customFormat="false" ht="15" hidden="false" customHeight="false" outlineLevel="0" collapsed="false">
      <c r="A126" s="2" t="s">
        <v>42</v>
      </c>
      <c r="B126" s="8" t="n">
        <v>45476</v>
      </c>
      <c r="C126" s="2" t="s">
        <v>133</v>
      </c>
      <c r="D126" s="2" t="str">
        <f aca="false">IF(C126="Yes","Present","Absent")</f>
        <v>Absent</v>
      </c>
    </row>
    <row r="127" customFormat="false" ht="15" hidden="false" customHeight="false" outlineLevel="0" collapsed="false">
      <c r="A127" s="2" t="s">
        <v>43</v>
      </c>
      <c r="B127" s="8" t="n">
        <v>45476</v>
      </c>
      <c r="C127" s="2" t="s">
        <v>133</v>
      </c>
      <c r="D127" s="2" t="str">
        <f aca="false">IF(C127="Yes","Present","Absent")</f>
        <v>Absent</v>
      </c>
    </row>
    <row r="128" customFormat="false" ht="15" hidden="false" customHeight="false" outlineLevel="0" collapsed="false">
      <c r="A128" s="2" t="s">
        <v>44</v>
      </c>
      <c r="B128" s="8" t="n">
        <v>45476</v>
      </c>
      <c r="C128" s="2" t="s">
        <v>133</v>
      </c>
      <c r="D128" s="2" t="str">
        <f aca="false">IF(C128="Yes","Present","Absent")</f>
        <v>Absent</v>
      </c>
    </row>
    <row r="129" customFormat="false" ht="15" hidden="false" customHeight="false" outlineLevel="0" collapsed="false">
      <c r="A129" s="2" t="s">
        <v>45</v>
      </c>
      <c r="B129" s="8" t="n">
        <v>45476</v>
      </c>
      <c r="C129" s="2" t="s">
        <v>133</v>
      </c>
      <c r="D129" s="2" t="str">
        <f aca="false">IF(C129="Yes","Present","Absent")</f>
        <v>Absent</v>
      </c>
    </row>
    <row r="130" customFormat="false" ht="15" hidden="false" customHeight="false" outlineLevel="0" collapsed="false">
      <c r="A130" s="2" t="s">
        <v>46</v>
      </c>
      <c r="B130" s="8" t="n">
        <v>45476</v>
      </c>
      <c r="C130" s="2" t="s">
        <v>133</v>
      </c>
      <c r="D130" s="2" t="str">
        <f aca="false">IF(C130="Yes","Present","Absent")</f>
        <v>Absent</v>
      </c>
    </row>
    <row r="131" customFormat="false" ht="15" hidden="false" customHeight="false" outlineLevel="0" collapsed="false">
      <c r="A131" s="2" t="s">
        <v>47</v>
      </c>
      <c r="B131" s="8" t="n">
        <v>45476</v>
      </c>
      <c r="C131" s="2" t="s">
        <v>132</v>
      </c>
      <c r="D131" s="2" t="str">
        <f aca="false">IF(C131="Yes","Present","Absent")</f>
        <v>Present</v>
      </c>
    </row>
    <row r="132" customFormat="false" ht="15" hidden="false" customHeight="false" outlineLevel="0" collapsed="false">
      <c r="A132" s="2" t="s">
        <v>48</v>
      </c>
      <c r="B132" s="8" t="n">
        <v>45476</v>
      </c>
      <c r="C132" s="2" t="s">
        <v>133</v>
      </c>
      <c r="D132" s="2" t="str">
        <f aca="false">IF(C132="Yes","Present","Absent")</f>
        <v>Absent</v>
      </c>
    </row>
    <row r="133" customFormat="false" ht="15" hidden="false" customHeight="false" outlineLevel="0" collapsed="false">
      <c r="A133" s="2" t="s">
        <v>49</v>
      </c>
      <c r="B133" s="8" t="n">
        <v>45476</v>
      </c>
      <c r="C133" s="2" t="s">
        <v>133</v>
      </c>
      <c r="D133" s="2" t="str">
        <f aca="false">IF(C133="Yes","Present","Absent")</f>
        <v>Absent</v>
      </c>
    </row>
    <row r="134" customFormat="false" ht="15" hidden="false" customHeight="false" outlineLevel="0" collapsed="false">
      <c r="A134" s="2" t="s">
        <v>50</v>
      </c>
      <c r="B134" s="8" t="n">
        <v>45476</v>
      </c>
      <c r="C134" s="2" t="s">
        <v>132</v>
      </c>
      <c r="D134" s="2" t="str">
        <f aca="false">IF(C134="Yes","Present","Absent")</f>
        <v>Present</v>
      </c>
    </row>
    <row r="135" customFormat="false" ht="15" hidden="false" customHeight="false" outlineLevel="0" collapsed="false">
      <c r="A135" s="2" t="s">
        <v>51</v>
      </c>
      <c r="B135" s="8" t="n">
        <v>45476</v>
      </c>
      <c r="C135" s="2" t="s">
        <v>132</v>
      </c>
      <c r="D135" s="2" t="str">
        <f aca="false">IF(C135="Yes","Present","Absent")</f>
        <v>Present</v>
      </c>
    </row>
    <row r="136" customFormat="false" ht="15" hidden="false" customHeight="false" outlineLevel="0" collapsed="false">
      <c r="A136" s="2" t="s">
        <v>52</v>
      </c>
      <c r="B136" s="8" t="n">
        <v>45476</v>
      </c>
      <c r="C136" s="2" t="s">
        <v>133</v>
      </c>
      <c r="D136" s="2" t="str">
        <f aca="false">IF(C136="Yes","Present","Absent")</f>
        <v>Absent</v>
      </c>
    </row>
    <row r="137" customFormat="false" ht="15" hidden="false" customHeight="false" outlineLevel="0" collapsed="false">
      <c r="A137" s="2" t="s">
        <v>53</v>
      </c>
      <c r="B137" s="8" t="n">
        <v>45476</v>
      </c>
      <c r="C137" s="2" t="s">
        <v>132</v>
      </c>
      <c r="D137" s="2" t="str">
        <f aca="false">IF(C137="Yes","Present","Absent")</f>
        <v>Present</v>
      </c>
    </row>
    <row r="138" customFormat="false" ht="15" hidden="false" customHeight="false" outlineLevel="0" collapsed="false">
      <c r="A138" s="2" t="s">
        <v>54</v>
      </c>
      <c r="B138" s="8" t="n">
        <v>45476</v>
      </c>
      <c r="C138" s="2" t="s">
        <v>132</v>
      </c>
      <c r="D138" s="2" t="str">
        <f aca="false">IF(C138="Yes","Present","Absent")</f>
        <v>Present</v>
      </c>
    </row>
    <row r="139" customFormat="false" ht="15" hidden="false" customHeight="false" outlineLevel="0" collapsed="false">
      <c r="A139" s="2" t="s">
        <v>55</v>
      </c>
      <c r="B139" s="8" t="n">
        <v>45476</v>
      </c>
      <c r="C139" s="2" t="s">
        <v>133</v>
      </c>
      <c r="D139" s="2" t="str">
        <f aca="false">IF(C139="Yes","Present","Absent")</f>
        <v>Absent</v>
      </c>
    </row>
    <row r="140" customFormat="false" ht="15" hidden="false" customHeight="false" outlineLevel="0" collapsed="false">
      <c r="A140" s="2" t="s">
        <v>56</v>
      </c>
      <c r="B140" s="8" t="n">
        <v>45476</v>
      </c>
      <c r="C140" s="2" t="s">
        <v>132</v>
      </c>
      <c r="D140" s="2" t="str">
        <f aca="false">IF(C140="Yes","Present","Absent")</f>
        <v>Present</v>
      </c>
    </row>
    <row r="141" customFormat="false" ht="15" hidden="false" customHeight="false" outlineLevel="0" collapsed="false">
      <c r="A141" s="2" t="s">
        <v>57</v>
      </c>
      <c r="B141" s="8" t="n">
        <v>45476</v>
      </c>
      <c r="C141" s="2" t="s">
        <v>133</v>
      </c>
      <c r="D141" s="2" t="str">
        <f aca="false">IF(C141="Yes","Present","Absent")</f>
        <v>Absent</v>
      </c>
    </row>
    <row r="142" customFormat="false" ht="15" hidden="false" customHeight="false" outlineLevel="0" collapsed="false">
      <c r="A142" s="2" t="s">
        <v>58</v>
      </c>
      <c r="B142" s="8" t="n">
        <v>45476</v>
      </c>
      <c r="C142" s="2" t="s">
        <v>132</v>
      </c>
      <c r="D142" s="2" t="str">
        <f aca="false">IF(C142="Yes","Present","Absent")</f>
        <v>Present</v>
      </c>
    </row>
    <row r="143" customFormat="false" ht="15" hidden="false" customHeight="false" outlineLevel="0" collapsed="false">
      <c r="A143" s="2" t="s">
        <v>59</v>
      </c>
      <c r="B143" s="8" t="n">
        <v>45476</v>
      </c>
      <c r="C143" s="2" t="s">
        <v>133</v>
      </c>
      <c r="D143" s="2" t="str">
        <f aca="false">IF(C143="Yes","Present","Absent")</f>
        <v>Absent</v>
      </c>
    </row>
    <row r="144" customFormat="false" ht="15" hidden="false" customHeight="false" outlineLevel="0" collapsed="false">
      <c r="A144" s="2" t="s">
        <v>60</v>
      </c>
      <c r="B144" s="8" t="n">
        <v>45476</v>
      </c>
      <c r="C144" s="2" t="s">
        <v>133</v>
      </c>
      <c r="D144" s="2" t="str">
        <f aca="false">IF(C144="Yes","Present","Absent")</f>
        <v>Absent</v>
      </c>
    </row>
    <row r="145" customFormat="false" ht="15" hidden="false" customHeight="false" outlineLevel="0" collapsed="false">
      <c r="A145" s="2" t="s">
        <v>61</v>
      </c>
      <c r="B145" s="8" t="n">
        <v>45476</v>
      </c>
      <c r="C145" s="2" t="s">
        <v>133</v>
      </c>
      <c r="D145" s="2" t="str">
        <f aca="false">IF(C145="Yes","Present","Absent")</f>
        <v>Absent</v>
      </c>
    </row>
    <row r="146" customFormat="false" ht="15" hidden="false" customHeight="false" outlineLevel="0" collapsed="false">
      <c r="A146" s="2" t="s">
        <v>62</v>
      </c>
      <c r="B146" s="8" t="n">
        <v>45476</v>
      </c>
      <c r="C146" s="2" t="s">
        <v>133</v>
      </c>
      <c r="D146" s="2" t="str">
        <f aca="false">IF(C146="Yes","Present","Absent")</f>
        <v>Absent</v>
      </c>
    </row>
    <row r="147" customFormat="false" ht="15" hidden="false" customHeight="false" outlineLevel="0" collapsed="false">
      <c r="A147" s="2" t="s">
        <v>63</v>
      </c>
      <c r="B147" s="8" t="n">
        <v>45476</v>
      </c>
      <c r="C147" s="2" t="s">
        <v>132</v>
      </c>
      <c r="D147" s="2" t="str">
        <f aca="false">IF(C147="Yes","Present","Absent")</f>
        <v>Present</v>
      </c>
    </row>
    <row r="148" customFormat="false" ht="15" hidden="false" customHeight="false" outlineLevel="0" collapsed="false">
      <c r="A148" s="2" t="s">
        <v>64</v>
      </c>
      <c r="B148" s="8" t="n">
        <v>45476</v>
      </c>
      <c r="C148" s="2" t="s">
        <v>132</v>
      </c>
      <c r="D148" s="2" t="str">
        <f aca="false">IF(C148="Yes","Present","Absent")</f>
        <v>Present</v>
      </c>
    </row>
    <row r="149" customFormat="false" ht="15" hidden="false" customHeight="false" outlineLevel="0" collapsed="false">
      <c r="A149" s="2" t="s">
        <v>65</v>
      </c>
      <c r="B149" s="8" t="n">
        <v>45476</v>
      </c>
      <c r="C149" s="2" t="s">
        <v>133</v>
      </c>
      <c r="D149" s="2" t="str">
        <f aca="false">IF(C149="Yes","Present","Absent")</f>
        <v>Absent</v>
      </c>
    </row>
    <row r="150" customFormat="false" ht="15" hidden="false" customHeight="false" outlineLevel="0" collapsed="false">
      <c r="A150" s="2" t="s">
        <v>66</v>
      </c>
      <c r="B150" s="8" t="n">
        <v>45476</v>
      </c>
      <c r="C150" s="2" t="s">
        <v>133</v>
      </c>
      <c r="D150" s="2" t="str">
        <f aca="false">IF(C150="Yes","Present","Absent")</f>
        <v>Absent</v>
      </c>
    </row>
    <row r="151" customFormat="false" ht="15" hidden="false" customHeight="false" outlineLevel="0" collapsed="false">
      <c r="A151" s="2" t="s">
        <v>67</v>
      </c>
      <c r="B151" s="8" t="n">
        <v>45476</v>
      </c>
      <c r="C151" s="2" t="s">
        <v>133</v>
      </c>
      <c r="D151" s="2" t="str">
        <f aca="false">IF(C151="Yes","Present","Absent")</f>
        <v>Absent</v>
      </c>
    </row>
    <row r="152" customFormat="false" ht="15" hidden="false" customHeight="false" outlineLevel="0" collapsed="false">
      <c r="A152" s="2" t="s">
        <v>10</v>
      </c>
      <c r="B152" s="8" t="n">
        <v>45477</v>
      </c>
      <c r="C152" s="2" t="s">
        <v>132</v>
      </c>
      <c r="D152" s="2" t="str">
        <f aca="false">IF(C152="Yes","Present","Absent")</f>
        <v>Present</v>
      </c>
    </row>
    <row r="153" customFormat="false" ht="15" hidden="false" customHeight="false" outlineLevel="0" collapsed="false">
      <c r="A153" s="2" t="s">
        <v>12</v>
      </c>
      <c r="B153" s="8" t="n">
        <v>45477</v>
      </c>
      <c r="C153" s="2" t="s">
        <v>132</v>
      </c>
      <c r="D153" s="2" t="str">
        <f aca="false">IF(C153="Yes","Present","Absent")</f>
        <v>Present</v>
      </c>
    </row>
    <row r="154" customFormat="false" ht="15" hidden="false" customHeight="false" outlineLevel="0" collapsed="false">
      <c r="A154" s="2" t="s">
        <v>14</v>
      </c>
      <c r="B154" s="8" t="n">
        <v>45477</v>
      </c>
      <c r="C154" s="2" t="s">
        <v>133</v>
      </c>
      <c r="D154" s="2" t="str">
        <f aca="false">IF(C154="Yes","Present","Absent")</f>
        <v>Absent</v>
      </c>
    </row>
    <row r="155" customFormat="false" ht="15" hidden="false" customHeight="false" outlineLevel="0" collapsed="false">
      <c r="A155" s="2" t="s">
        <v>16</v>
      </c>
      <c r="B155" s="8" t="n">
        <v>45477</v>
      </c>
      <c r="C155" s="2" t="s">
        <v>132</v>
      </c>
      <c r="D155" s="2" t="str">
        <f aca="false">IF(C155="Yes","Present","Absent")</f>
        <v>Present</v>
      </c>
    </row>
    <row r="156" customFormat="false" ht="15" hidden="false" customHeight="false" outlineLevel="0" collapsed="false">
      <c r="A156" s="2" t="s">
        <v>18</v>
      </c>
      <c r="B156" s="8" t="n">
        <v>45477</v>
      </c>
      <c r="C156" s="2" t="s">
        <v>132</v>
      </c>
      <c r="D156" s="2" t="str">
        <f aca="false">IF(C156="Yes","Present","Absent")</f>
        <v>Present</v>
      </c>
    </row>
    <row r="157" customFormat="false" ht="15" hidden="false" customHeight="false" outlineLevel="0" collapsed="false">
      <c r="A157" s="2" t="s">
        <v>20</v>
      </c>
      <c r="B157" s="8" t="n">
        <v>45477</v>
      </c>
      <c r="C157" s="2" t="s">
        <v>132</v>
      </c>
      <c r="D157" s="2" t="str">
        <f aca="false">IF(C157="Yes","Present","Absent")</f>
        <v>Present</v>
      </c>
    </row>
    <row r="158" customFormat="false" ht="15" hidden="false" customHeight="false" outlineLevel="0" collapsed="false">
      <c r="A158" s="2" t="s">
        <v>21</v>
      </c>
      <c r="B158" s="8" t="n">
        <v>45477</v>
      </c>
      <c r="C158" s="2" t="s">
        <v>132</v>
      </c>
      <c r="D158" s="2" t="str">
        <f aca="false">IF(C158="Yes","Present","Absent")</f>
        <v>Present</v>
      </c>
    </row>
    <row r="159" customFormat="false" ht="15" hidden="false" customHeight="false" outlineLevel="0" collapsed="false">
      <c r="A159" s="2" t="s">
        <v>23</v>
      </c>
      <c r="B159" s="8" t="n">
        <v>45477</v>
      </c>
      <c r="C159" s="2" t="s">
        <v>132</v>
      </c>
      <c r="D159" s="2" t="str">
        <f aca="false">IF(C159="Yes","Present","Absent")</f>
        <v>Present</v>
      </c>
    </row>
    <row r="160" customFormat="false" ht="15" hidden="false" customHeight="false" outlineLevel="0" collapsed="false">
      <c r="A160" s="2" t="s">
        <v>25</v>
      </c>
      <c r="B160" s="8" t="n">
        <v>45477</v>
      </c>
      <c r="C160" s="2" t="s">
        <v>132</v>
      </c>
      <c r="D160" s="2" t="str">
        <f aca="false">IF(C160="Yes","Present","Absent")</f>
        <v>Present</v>
      </c>
    </row>
    <row r="161" customFormat="false" ht="15" hidden="false" customHeight="false" outlineLevel="0" collapsed="false">
      <c r="A161" s="2" t="s">
        <v>27</v>
      </c>
      <c r="B161" s="8" t="n">
        <v>45477</v>
      </c>
      <c r="C161" s="2" t="s">
        <v>133</v>
      </c>
      <c r="D161" s="2" t="str">
        <f aca="false">IF(C161="Yes","Present","Absent")</f>
        <v>Absent</v>
      </c>
    </row>
    <row r="162" customFormat="false" ht="15" hidden="false" customHeight="false" outlineLevel="0" collapsed="false">
      <c r="A162" s="2" t="s">
        <v>28</v>
      </c>
      <c r="B162" s="8" t="n">
        <v>45477</v>
      </c>
      <c r="C162" s="2" t="s">
        <v>132</v>
      </c>
      <c r="D162" s="2" t="str">
        <f aca="false">IF(C162="Yes","Present","Absent")</f>
        <v>Present</v>
      </c>
    </row>
    <row r="163" customFormat="false" ht="15" hidden="false" customHeight="false" outlineLevel="0" collapsed="false">
      <c r="A163" s="2" t="s">
        <v>29</v>
      </c>
      <c r="B163" s="8" t="n">
        <v>45477</v>
      </c>
      <c r="C163" s="2" t="s">
        <v>133</v>
      </c>
      <c r="D163" s="2" t="str">
        <f aca="false">IF(C163="Yes","Present","Absent")</f>
        <v>Absent</v>
      </c>
    </row>
    <row r="164" customFormat="false" ht="15" hidden="false" customHeight="false" outlineLevel="0" collapsed="false">
      <c r="A164" s="2" t="s">
        <v>30</v>
      </c>
      <c r="B164" s="8" t="n">
        <v>45477</v>
      </c>
      <c r="C164" s="2" t="s">
        <v>133</v>
      </c>
      <c r="D164" s="2" t="str">
        <f aca="false">IF(C164="Yes","Present","Absent")</f>
        <v>Absent</v>
      </c>
    </row>
    <row r="165" customFormat="false" ht="15" hidden="false" customHeight="false" outlineLevel="0" collapsed="false">
      <c r="A165" s="2" t="s">
        <v>31</v>
      </c>
      <c r="B165" s="8" t="n">
        <v>45477</v>
      </c>
      <c r="C165" s="2" t="s">
        <v>132</v>
      </c>
      <c r="D165" s="2" t="str">
        <f aca="false">IF(C165="Yes","Present","Absent")</f>
        <v>Present</v>
      </c>
    </row>
    <row r="166" customFormat="false" ht="15" hidden="false" customHeight="false" outlineLevel="0" collapsed="false">
      <c r="A166" s="2" t="s">
        <v>32</v>
      </c>
      <c r="B166" s="8" t="n">
        <v>45477</v>
      </c>
      <c r="C166" s="2" t="s">
        <v>132</v>
      </c>
      <c r="D166" s="2" t="str">
        <f aca="false">IF(C166="Yes","Present","Absent")</f>
        <v>Present</v>
      </c>
    </row>
    <row r="167" customFormat="false" ht="15" hidden="false" customHeight="false" outlineLevel="0" collapsed="false">
      <c r="A167" s="2" t="s">
        <v>33</v>
      </c>
      <c r="B167" s="8" t="n">
        <v>45477</v>
      </c>
      <c r="C167" s="2" t="s">
        <v>132</v>
      </c>
      <c r="D167" s="2" t="str">
        <f aca="false">IF(C167="Yes","Present","Absent")</f>
        <v>Present</v>
      </c>
    </row>
    <row r="168" customFormat="false" ht="15" hidden="false" customHeight="false" outlineLevel="0" collapsed="false">
      <c r="A168" s="2" t="s">
        <v>34</v>
      </c>
      <c r="B168" s="8" t="n">
        <v>45477</v>
      </c>
      <c r="C168" s="2" t="s">
        <v>133</v>
      </c>
      <c r="D168" s="2" t="str">
        <f aca="false">IF(C168="Yes","Present","Absent")</f>
        <v>Absent</v>
      </c>
    </row>
    <row r="169" customFormat="false" ht="15" hidden="false" customHeight="false" outlineLevel="0" collapsed="false">
      <c r="A169" s="2" t="s">
        <v>35</v>
      </c>
      <c r="B169" s="8" t="n">
        <v>45477</v>
      </c>
      <c r="C169" s="2" t="s">
        <v>133</v>
      </c>
      <c r="D169" s="2" t="str">
        <f aca="false">IF(C169="Yes","Present","Absent")</f>
        <v>Absent</v>
      </c>
    </row>
    <row r="170" customFormat="false" ht="15" hidden="false" customHeight="false" outlineLevel="0" collapsed="false">
      <c r="A170" s="2" t="s">
        <v>36</v>
      </c>
      <c r="B170" s="8" t="n">
        <v>45477</v>
      </c>
      <c r="C170" s="2" t="s">
        <v>133</v>
      </c>
      <c r="D170" s="2" t="str">
        <f aca="false">IF(C170="Yes","Present","Absent")</f>
        <v>Absent</v>
      </c>
    </row>
    <row r="171" customFormat="false" ht="15" hidden="false" customHeight="false" outlineLevel="0" collapsed="false">
      <c r="A171" s="2" t="s">
        <v>37</v>
      </c>
      <c r="B171" s="8" t="n">
        <v>45477</v>
      </c>
      <c r="C171" s="2" t="s">
        <v>132</v>
      </c>
      <c r="D171" s="2" t="str">
        <f aca="false">IF(C171="Yes","Present","Absent")</f>
        <v>Present</v>
      </c>
    </row>
    <row r="172" customFormat="false" ht="15" hidden="false" customHeight="false" outlineLevel="0" collapsed="false">
      <c r="A172" s="2" t="s">
        <v>38</v>
      </c>
      <c r="B172" s="8" t="n">
        <v>45477</v>
      </c>
      <c r="C172" s="2" t="s">
        <v>133</v>
      </c>
      <c r="D172" s="2" t="str">
        <f aca="false">IF(C172="Yes","Present","Absent")</f>
        <v>Absent</v>
      </c>
    </row>
    <row r="173" customFormat="false" ht="15" hidden="false" customHeight="false" outlineLevel="0" collapsed="false">
      <c r="A173" s="2" t="s">
        <v>39</v>
      </c>
      <c r="B173" s="8" t="n">
        <v>45477</v>
      </c>
      <c r="C173" s="2" t="s">
        <v>133</v>
      </c>
      <c r="D173" s="2" t="str">
        <f aca="false">IF(C173="Yes","Present","Absent")</f>
        <v>Absent</v>
      </c>
    </row>
    <row r="174" customFormat="false" ht="15" hidden="false" customHeight="false" outlineLevel="0" collapsed="false">
      <c r="A174" s="2" t="s">
        <v>40</v>
      </c>
      <c r="B174" s="8" t="n">
        <v>45477</v>
      </c>
      <c r="C174" s="2" t="s">
        <v>132</v>
      </c>
      <c r="D174" s="2" t="str">
        <f aca="false">IF(C174="Yes","Present","Absent")</f>
        <v>Present</v>
      </c>
    </row>
    <row r="175" customFormat="false" ht="15" hidden="false" customHeight="false" outlineLevel="0" collapsed="false">
      <c r="A175" s="2" t="s">
        <v>41</v>
      </c>
      <c r="B175" s="8" t="n">
        <v>45477</v>
      </c>
      <c r="C175" s="2" t="s">
        <v>133</v>
      </c>
      <c r="D175" s="2" t="str">
        <f aca="false">IF(C175="Yes","Present","Absent")</f>
        <v>Absent</v>
      </c>
    </row>
    <row r="176" customFormat="false" ht="15" hidden="false" customHeight="false" outlineLevel="0" collapsed="false">
      <c r="A176" s="2" t="s">
        <v>42</v>
      </c>
      <c r="B176" s="8" t="n">
        <v>45477</v>
      </c>
      <c r="C176" s="2" t="s">
        <v>132</v>
      </c>
      <c r="D176" s="2" t="str">
        <f aca="false">IF(C176="Yes","Present","Absent")</f>
        <v>Present</v>
      </c>
    </row>
    <row r="177" customFormat="false" ht="15" hidden="false" customHeight="false" outlineLevel="0" collapsed="false">
      <c r="A177" s="2" t="s">
        <v>43</v>
      </c>
      <c r="B177" s="8" t="n">
        <v>45477</v>
      </c>
      <c r="C177" s="2" t="s">
        <v>133</v>
      </c>
      <c r="D177" s="2" t="str">
        <f aca="false">IF(C177="Yes","Present","Absent")</f>
        <v>Absent</v>
      </c>
    </row>
    <row r="178" customFormat="false" ht="15" hidden="false" customHeight="false" outlineLevel="0" collapsed="false">
      <c r="A178" s="2" t="s">
        <v>44</v>
      </c>
      <c r="B178" s="8" t="n">
        <v>45477</v>
      </c>
      <c r="C178" s="2" t="s">
        <v>132</v>
      </c>
      <c r="D178" s="2" t="str">
        <f aca="false">IF(C178="Yes","Present","Absent")</f>
        <v>Present</v>
      </c>
    </row>
    <row r="179" customFormat="false" ht="15" hidden="false" customHeight="false" outlineLevel="0" collapsed="false">
      <c r="A179" s="2" t="s">
        <v>45</v>
      </c>
      <c r="B179" s="8" t="n">
        <v>45477</v>
      </c>
      <c r="C179" s="2" t="s">
        <v>133</v>
      </c>
      <c r="D179" s="2" t="str">
        <f aca="false">IF(C179="Yes","Present","Absent")</f>
        <v>Absent</v>
      </c>
    </row>
    <row r="180" customFormat="false" ht="15" hidden="false" customHeight="false" outlineLevel="0" collapsed="false">
      <c r="A180" s="2" t="s">
        <v>46</v>
      </c>
      <c r="B180" s="8" t="n">
        <v>45477</v>
      </c>
      <c r="C180" s="2" t="s">
        <v>132</v>
      </c>
      <c r="D180" s="2" t="str">
        <f aca="false">IF(C180="Yes","Present","Absent")</f>
        <v>Present</v>
      </c>
    </row>
    <row r="181" customFormat="false" ht="15" hidden="false" customHeight="false" outlineLevel="0" collapsed="false">
      <c r="A181" s="2" t="s">
        <v>47</v>
      </c>
      <c r="B181" s="8" t="n">
        <v>45477</v>
      </c>
      <c r="C181" s="2" t="s">
        <v>132</v>
      </c>
      <c r="D181" s="2" t="str">
        <f aca="false">IF(C181="Yes","Present","Absent")</f>
        <v>Present</v>
      </c>
    </row>
    <row r="182" customFormat="false" ht="15" hidden="false" customHeight="false" outlineLevel="0" collapsed="false">
      <c r="A182" s="2" t="s">
        <v>48</v>
      </c>
      <c r="B182" s="8" t="n">
        <v>45477</v>
      </c>
      <c r="C182" s="2" t="s">
        <v>132</v>
      </c>
      <c r="D182" s="2" t="str">
        <f aca="false">IF(C182="Yes","Present","Absent")</f>
        <v>Present</v>
      </c>
    </row>
    <row r="183" customFormat="false" ht="15" hidden="false" customHeight="false" outlineLevel="0" collapsed="false">
      <c r="A183" s="2" t="s">
        <v>49</v>
      </c>
      <c r="B183" s="8" t="n">
        <v>45477</v>
      </c>
      <c r="C183" s="2" t="s">
        <v>132</v>
      </c>
      <c r="D183" s="2" t="str">
        <f aca="false">IF(C183="Yes","Present","Absent")</f>
        <v>Present</v>
      </c>
    </row>
    <row r="184" customFormat="false" ht="15" hidden="false" customHeight="false" outlineLevel="0" collapsed="false">
      <c r="A184" s="2" t="s">
        <v>50</v>
      </c>
      <c r="B184" s="8" t="n">
        <v>45477</v>
      </c>
      <c r="C184" s="2" t="s">
        <v>132</v>
      </c>
      <c r="D184" s="2" t="str">
        <f aca="false">IF(C184="Yes","Present","Absent")</f>
        <v>Present</v>
      </c>
    </row>
    <row r="185" customFormat="false" ht="15" hidden="false" customHeight="false" outlineLevel="0" collapsed="false">
      <c r="A185" s="2" t="s">
        <v>51</v>
      </c>
      <c r="B185" s="8" t="n">
        <v>45477</v>
      </c>
      <c r="C185" s="2" t="s">
        <v>132</v>
      </c>
      <c r="D185" s="2" t="str">
        <f aca="false">IF(C185="Yes","Present","Absent")</f>
        <v>Present</v>
      </c>
    </row>
    <row r="186" customFormat="false" ht="15" hidden="false" customHeight="false" outlineLevel="0" collapsed="false">
      <c r="A186" s="2" t="s">
        <v>52</v>
      </c>
      <c r="B186" s="8" t="n">
        <v>45477</v>
      </c>
      <c r="C186" s="2" t="s">
        <v>133</v>
      </c>
      <c r="D186" s="2" t="str">
        <f aca="false">IF(C186="Yes","Present","Absent")</f>
        <v>Absent</v>
      </c>
    </row>
    <row r="187" customFormat="false" ht="15" hidden="false" customHeight="false" outlineLevel="0" collapsed="false">
      <c r="A187" s="2" t="s">
        <v>53</v>
      </c>
      <c r="B187" s="8" t="n">
        <v>45477</v>
      </c>
      <c r="C187" s="2" t="s">
        <v>132</v>
      </c>
      <c r="D187" s="2" t="str">
        <f aca="false">IF(C187="Yes","Present","Absent")</f>
        <v>Present</v>
      </c>
    </row>
    <row r="188" customFormat="false" ht="15" hidden="false" customHeight="false" outlineLevel="0" collapsed="false">
      <c r="A188" s="2" t="s">
        <v>54</v>
      </c>
      <c r="B188" s="8" t="n">
        <v>45477</v>
      </c>
      <c r="C188" s="2" t="s">
        <v>133</v>
      </c>
      <c r="D188" s="2" t="str">
        <f aca="false">IF(C188="Yes","Present","Absent")</f>
        <v>Absent</v>
      </c>
    </row>
    <row r="189" customFormat="false" ht="15" hidden="false" customHeight="false" outlineLevel="0" collapsed="false">
      <c r="A189" s="2" t="s">
        <v>55</v>
      </c>
      <c r="B189" s="8" t="n">
        <v>45477</v>
      </c>
      <c r="C189" s="2" t="s">
        <v>132</v>
      </c>
      <c r="D189" s="2" t="str">
        <f aca="false">IF(C189="Yes","Present","Absent")</f>
        <v>Present</v>
      </c>
    </row>
    <row r="190" customFormat="false" ht="15" hidden="false" customHeight="false" outlineLevel="0" collapsed="false">
      <c r="A190" s="2" t="s">
        <v>56</v>
      </c>
      <c r="B190" s="8" t="n">
        <v>45477</v>
      </c>
      <c r="C190" s="2" t="s">
        <v>133</v>
      </c>
      <c r="D190" s="2" t="str">
        <f aca="false">IF(C190="Yes","Present","Absent")</f>
        <v>Absent</v>
      </c>
    </row>
    <row r="191" customFormat="false" ht="15" hidden="false" customHeight="false" outlineLevel="0" collapsed="false">
      <c r="A191" s="2" t="s">
        <v>57</v>
      </c>
      <c r="B191" s="8" t="n">
        <v>45477</v>
      </c>
      <c r="C191" s="2" t="s">
        <v>132</v>
      </c>
      <c r="D191" s="2" t="str">
        <f aca="false">IF(C191="Yes","Present","Absent")</f>
        <v>Present</v>
      </c>
    </row>
    <row r="192" customFormat="false" ht="15" hidden="false" customHeight="false" outlineLevel="0" collapsed="false">
      <c r="A192" s="2" t="s">
        <v>58</v>
      </c>
      <c r="B192" s="8" t="n">
        <v>45477</v>
      </c>
      <c r="C192" s="2" t="s">
        <v>132</v>
      </c>
      <c r="D192" s="2" t="str">
        <f aca="false">IF(C192="Yes","Present","Absent")</f>
        <v>Present</v>
      </c>
    </row>
    <row r="193" customFormat="false" ht="15" hidden="false" customHeight="false" outlineLevel="0" collapsed="false">
      <c r="A193" s="2" t="s">
        <v>59</v>
      </c>
      <c r="B193" s="8" t="n">
        <v>45477</v>
      </c>
      <c r="C193" s="2" t="s">
        <v>132</v>
      </c>
      <c r="D193" s="2" t="str">
        <f aca="false">IF(C193="Yes","Present","Absent")</f>
        <v>Present</v>
      </c>
    </row>
    <row r="194" customFormat="false" ht="15" hidden="false" customHeight="false" outlineLevel="0" collapsed="false">
      <c r="A194" s="2" t="s">
        <v>60</v>
      </c>
      <c r="B194" s="8" t="n">
        <v>45477</v>
      </c>
      <c r="C194" s="2" t="s">
        <v>133</v>
      </c>
      <c r="D194" s="2" t="str">
        <f aca="false">IF(C194="Yes","Present","Absent")</f>
        <v>Absent</v>
      </c>
    </row>
    <row r="195" customFormat="false" ht="15" hidden="false" customHeight="false" outlineLevel="0" collapsed="false">
      <c r="A195" s="2" t="s">
        <v>61</v>
      </c>
      <c r="B195" s="8" t="n">
        <v>45477</v>
      </c>
      <c r="C195" s="2" t="s">
        <v>132</v>
      </c>
      <c r="D195" s="2" t="str">
        <f aca="false">IF(C195="Yes","Present","Absent")</f>
        <v>Present</v>
      </c>
    </row>
    <row r="196" customFormat="false" ht="15" hidden="false" customHeight="false" outlineLevel="0" collapsed="false">
      <c r="A196" s="2" t="s">
        <v>62</v>
      </c>
      <c r="B196" s="8" t="n">
        <v>45477</v>
      </c>
      <c r="C196" s="2" t="s">
        <v>132</v>
      </c>
      <c r="D196" s="2" t="str">
        <f aca="false">IF(C196="Yes","Present","Absent")</f>
        <v>Present</v>
      </c>
    </row>
    <row r="197" customFormat="false" ht="15" hidden="false" customHeight="false" outlineLevel="0" collapsed="false">
      <c r="A197" s="2" t="s">
        <v>63</v>
      </c>
      <c r="B197" s="8" t="n">
        <v>45477</v>
      </c>
      <c r="C197" s="2" t="s">
        <v>133</v>
      </c>
      <c r="D197" s="2" t="str">
        <f aca="false">IF(C197="Yes","Present","Absent")</f>
        <v>Absent</v>
      </c>
    </row>
    <row r="198" customFormat="false" ht="15" hidden="false" customHeight="false" outlineLevel="0" collapsed="false">
      <c r="A198" s="2" t="s">
        <v>64</v>
      </c>
      <c r="B198" s="8" t="n">
        <v>45477</v>
      </c>
      <c r="C198" s="2" t="s">
        <v>133</v>
      </c>
      <c r="D198" s="2" t="str">
        <f aca="false">IF(C198="Yes","Present","Absent")</f>
        <v>Absent</v>
      </c>
    </row>
    <row r="199" customFormat="false" ht="15" hidden="false" customHeight="false" outlineLevel="0" collapsed="false">
      <c r="A199" s="2" t="s">
        <v>65</v>
      </c>
      <c r="B199" s="8" t="n">
        <v>45477</v>
      </c>
      <c r="C199" s="2" t="s">
        <v>133</v>
      </c>
      <c r="D199" s="2" t="str">
        <f aca="false">IF(C199="Yes","Present","Absent")</f>
        <v>Absent</v>
      </c>
    </row>
    <row r="200" customFormat="false" ht="15" hidden="false" customHeight="false" outlineLevel="0" collapsed="false">
      <c r="A200" s="2" t="s">
        <v>66</v>
      </c>
      <c r="B200" s="8" t="n">
        <v>45477</v>
      </c>
      <c r="C200" s="2" t="s">
        <v>133</v>
      </c>
      <c r="D200" s="2" t="str">
        <f aca="false">IF(C200="Yes","Present","Absent")</f>
        <v>Absent</v>
      </c>
    </row>
    <row r="201" customFormat="false" ht="15" hidden="false" customHeight="false" outlineLevel="0" collapsed="false">
      <c r="A201" s="2" t="s">
        <v>67</v>
      </c>
      <c r="B201" s="8" t="n">
        <v>45477</v>
      </c>
      <c r="C201" s="2" t="s">
        <v>132</v>
      </c>
      <c r="D201" s="2" t="str">
        <f aca="false">IF(C201="Yes","Present","Absent")</f>
        <v>Present</v>
      </c>
    </row>
    <row r="202" customFormat="false" ht="15" hidden="false" customHeight="false" outlineLevel="0" collapsed="false">
      <c r="A202" s="2" t="s">
        <v>10</v>
      </c>
      <c r="B202" s="8" t="n">
        <v>45478</v>
      </c>
      <c r="C202" s="2" t="s">
        <v>133</v>
      </c>
      <c r="D202" s="2" t="str">
        <f aca="false">IF(C202="Yes","Present","Absent")</f>
        <v>Absent</v>
      </c>
    </row>
    <row r="203" customFormat="false" ht="15" hidden="false" customHeight="false" outlineLevel="0" collapsed="false">
      <c r="A203" s="2" t="s">
        <v>12</v>
      </c>
      <c r="B203" s="8" t="n">
        <v>45478</v>
      </c>
      <c r="C203" s="2" t="s">
        <v>133</v>
      </c>
      <c r="D203" s="2" t="str">
        <f aca="false">IF(C203="Yes","Present","Absent")</f>
        <v>Absent</v>
      </c>
    </row>
    <row r="204" customFormat="false" ht="15" hidden="false" customHeight="false" outlineLevel="0" collapsed="false">
      <c r="A204" s="2" t="s">
        <v>14</v>
      </c>
      <c r="B204" s="8" t="n">
        <v>45478</v>
      </c>
      <c r="C204" s="2" t="s">
        <v>133</v>
      </c>
      <c r="D204" s="2" t="str">
        <f aca="false">IF(C204="Yes","Present","Absent")</f>
        <v>Absent</v>
      </c>
    </row>
    <row r="205" customFormat="false" ht="15" hidden="false" customHeight="false" outlineLevel="0" collapsed="false">
      <c r="A205" s="2" t="s">
        <v>16</v>
      </c>
      <c r="B205" s="8" t="n">
        <v>45478</v>
      </c>
      <c r="C205" s="2" t="s">
        <v>133</v>
      </c>
      <c r="D205" s="2" t="str">
        <f aca="false">IF(C205="Yes","Present","Absent")</f>
        <v>Absent</v>
      </c>
    </row>
    <row r="206" customFormat="false" ht="15" hidden="false" customHeight="false" outlineLevel="0" collapsed="false">
      <c r="A206" s="2" t="s">
        <v>18</v>
      </c>
      <c r="B206" s="8" t="n">
        <v>45478</v>
      </c>
      <c r="C206" s="2" t="s">
        <v>133</v>
      </c>
      <c r="D206" s="2" t="str">
        <f aca="false">IF(C206="Yes","Present","Absent")</f>
        <v>Absent</v>
      </c>
    </row>
    <row r="207" customFormat="false" ht="15" hidden="false" customHeight="false" outlineLevel="0" collapsed="false">
      <c r="A207" s="2" t="s">
        <v>20</v>
      </c>
      <c r="B207" s="8" t="n">
        <v>45478</v>
      </c>
      <c r="C207" s="2" t="s">
        <v>132</v>
      </c>
      <c r="D207" s="2" t="str">
        <f aca="false">IF(C207="Yes","Present","Absent")</f>
        <v>Present</v>
      </c>
    </row>
    <row r="208" customFormat="false" ht="15" hidden="false" customHeight="false" outlineLevel="0" collapsed="false">
      <c r="A208" s="2" t="s">
        <v>21</v>
      </c>
      <c r="B208" s="8" t="n">
        <v>45478</v>
      </c>
      <c r="C208" s="2" t="s">
        <v>132</v>
      </c>
      <c r="D208" s="2" t="str">
        <f aca="false">IF(C208="Yes","Present","Absent")</f>
        <v>Present</v>
      </c>
    </row>
    <row r="209" customFormat="false" ht="15" hidden="false" customHeight="false" outlineLevel="0" collapsed="false">
      <c r="A209" s="2" t="s">
        <v>23</v>
      </c>
      <c r="B209" s="8" t="n">
        <v>45478</v>
      </c>
      <c r="C209" s="2" t="s">
        <v>133</v>
      </c>
      <c r="D209" s="2" t="str">
        <f aca="false">IF(C209="Yes","Present","Absent")</f>
        <v>Absent</v>
      </c>
    </row>
    <row r="210" customFormat="false" ht="15" hidden="false" customHeight="false" outlineLevel="0" collapsed="false">
      <c r="A210" s="2" t="s">
        <v>25</v>
      </c>
      <c r="B210" s="8" t="n">
        <v>45478</v>
      </c>
      <c r="C210" s="2" t="s">
        <v>133</v>
      </c>
      <c r="D210" s="2" t="str">
        <f aca="false">IF(C210="Yes","Present","Absent")</f>
        <v>Absent</v>
      </c>
    </row>
    <row r="211" customFormat="false" ht="15" hidden="false" customHeight="false" outlineLevel="0" collapsed="false">
      <c r="A211" s="2" t="s">
        <v>27</v>
      </c>
      <c r="B211" s="8" t="n">
        <v>45478</v>
      </c>
      <c r="C211" s="2" t="s">
        <v>133</v>
      </c>
      <c r="D211" s="2" t="str">
        <f aca="false">IF(C211="Yes","Present","Absent")</f>
        <v>Absent</v>
      </c>
    </row>
    <row r="212" customFormat="false" ht="15" hidden="false" customHeight="false" outlineLevel="0" collapsed="false">
      <c r="A212" s="2" t="s">
        <v>28</v>
      </c>
      <c r="B212" s="8" t="n">
        <v>45478</v>
      </c>
      <c r="C212" s="2" t="s">
        <v>133</v>
      </c>
      <c r="D212" s="2" t="str">
        <f aca="false">IF(C212="Yes","Present","Absent")</f>
        <v>Absent</v>
      </c>
    </row>
    <row r="213" customFormat="false" ht="15" hidden="false" customHeight="false" outlineLevel="0" collapsed="false">
      <c r="A213" s="2" t="s">
        <v>29</v>
      </c>
      <c r="B213" s="8" t="n">
        <v>45478</v>
      </c>
      <c r="C213" s="2" t="s">
        <v>133</v>
      </c>
      <c r="D213" s="2" t="str">
        <f aca="false">IF(C213="Yes","Present","Absent")</f>
        <v>Absent</v>
      </c>
    </row>
    <row r="214" customFormat="false" ht="15" hidden="false" customHeight="false" outlineLevel="0" collapsed="false">
      <c r="A214" s="2" t="s">
        <v>30</v>
      </c>
      <c r="B214" s="8" t="n">
        <v>45478</v>
      </c>
      <c r="C214" s="2" t="s">
        <v>132</v>
      </c>
      <c r="D214" s="2" t="str">
        <f aca="false">IF(C214="Yes","Present","Absent")</f>
        <v>Present</v>
      </c>
    </row>
    <row r="215" customFormat="false" ht="15" hidden="false" customHeight="false" outlineLevel="0" collapsed="false">
      <c r="A215" s="2" t="s">
        <v>31</v>
      </c>
      <c r="B215" s="8" t="n">
        <v>45478</v>
      </c>
      <c r="C215" s="2" t="s">
        <v>132</v>
      </c>
      <c r="D215" s="2" t="str">
        <f aca="false">IF(C215="Yes","Present","Absent")</f>
        <v>Present</v>
      </c>
    </row>
    <row r="216" customFormat="false" ht="15" hidden="false" customHeight="false" outlineLevel="0" collapsed="false">
      <c r="A216" s="2" t="s">
        <v>32</v>
      </c>
      <c r="B216" s="8" t="n">
        <v>45478</v>
      </c>
      <c r="C216" s="2" t="s">
        <v>133</v>
      </c>
      <c r="D216" s="2" t="str">
        <f aca="false">IF(C216="Yes","Present","Absent")</f>
        <v>Absent</v>
      </c>
    </row>
    <row r="217" customFormat="false" ht="15" hidden="false" customHeight="false" outlineLevel="0" collapsed="false">
      <c r="A217" s="2" t="s">
        <v>33</v>
      </c>
      <c r="B217" s="8" t="n">
        <v>45478</v>
      </c>
      <c r="C217" s="2" t="s">
        <v>132</v>
      </c>
      <c r="D217" s="2" t="str">
        <f aca="false">IF(C217="Yes","Present","Absent")</f>
        <v>Present</v>
      </c>
    </row>
    <row r="218" customFormat="false" ht="15" hidden="false" customHeight="false" outlineLevel="0" collapsed="false">
      <c r="A218" s="2" t="s">
        <v>34</v>
      </c>
      <c r="B218" s="8" t="n">
        <v>45478</v>
      </c>
      <c r="C218" s="2" t="s">
        <v>132</v>
      </c>
      <c r="D218" s="2" t="str">
        <f aca="false">IF(C218="Yes","Present","Absent")</f>
        <v>Present</v>
      </c>
    </row>
    <row r="219" customFormat="false" ht="15" hidden="false" customHeight="false" outlineLevel="0" collapsed="false">
      <c r="A219" s="2" t="s">
        <v>35</v>
      </c>
      <c r="B219" s="8" t="n">
        <v>45478</v>
      </c>
      <c r="C219" s="2" t="s">
        <v>132</v>
      </c>
      <c r="D219" s="2" t="str">
        <f aca="false">IF(C219="Yes","Present","Absent")</f>
        <v>Present</v>
      </c>
    </row>
    <row r="220" customFormat="false" ht="15" hidden="false" customHeight="false" outlineLevel="0" collapsed="false">
      <c r="A220" s="2" t="s">
        <v>36</v>
      </c>
      <c r="B220" s="8" t="n">
        <v>45478</v>
      </c>
      <c r="C220" s="2" t="s">
        <v>133</v>
      </c>
      <c r="D220" s="2" t="str">
        <f aca="false">IF(C220="Yes","Present","Absent")</f>
        <v>Absent</v>
      </c>
    </row>
    <row r="221" customFormat="false" ht="15" hidden="false" customHeight="false" outlineLevel="0" collapsed="false">
      <c r="A221" s="2" t="s">
        <v>37</v>
      </c>
      <c r="B221" s="8" t="n">
        <v>45478</v>
      </c>
      <c r="C221" s="2" t="s">
        <v>132</v>
      </c>
      <c r="D221" s="2" t="str">
        <f aca="false">IF(C221="Yes","Present","Absent")</f>
        <v>Present</v>
      </c>
    </row>
    <row r="222" customFormat="false" ht="15" hidden="false" customHeight="false" outlineLevel="0" collapsed="false">
      <c r="A222" s="2" t="s">
        <v>38</v>
      </c>
      <c r="B222" s="8" t="n">
        <v>45478</v>
      </c>
      <c r="C222" s="2" t="s">
        <v>132</v>
      </c>
      <c r="D222" s="2" t="str">
        <f aca="false">IF(C222="Yes","Present","Absent")</f>
        <v>Present</v>
      </c>
    </row>
    <row r="223" customFormat="false" ht="15" hidden="false" customHeight="false" outlineLevel="0" collapsed="false">
      <c r="A223" s="2" t="s">
        <v>39</v>
      </c>
      <c r="B223" s="8" t="n">
        <v>45478</v>
      </c>
      <c r="C223" s="2" t="s">
        <v>133</v>
      </c>
      <c r="D223" s="2" t="str">
        <f aca="false">IF(C223="Yes","Present","Absent")</f>
        <v>Absent</v>
      </c>
    </row>
    <row r="224" customFormat="false" ht="15" hidden="false" customHeight="false" outlineLevel="0" collapsed="false">
      <c r="A224" s="2" t="s">
        <v>40</v>
      </c>
      <c r="B224" s="8" t="n">
        <v>45478</v>
      </c>
      <c r="C224" s="2" t="s">
        <v>133</v>
      </c>
      <c r="D224" s="2" t="str">
        <f aca="false">IF(C224="Yes","Present","Absent")</f>
        <v>Absent</v>
      </c>
    </row>
    <row r="225" customFormat="false" ht="15" hidden="false" customHeight="false" outlineLevel="0" collapsed="false">
      <c r="A225" s="2" t="s">
        <v>41</v>
      </c>
      <c r="B225" s="8" t="n">
        <v>45478</v>
      </c>
      <c r="C225" s="2" t="s">
        <v>133</v>
      </c>
      <c r="D225" s="2" t="str">
        <f aca="false">IF(C225="Yes","Present","Absent")</f>
        <v>Absent</v>
      </c>
    </row>
    <row r="226" customFormat="false" ht="15" hidden="false" customHeight="false" outlineLevel="0" collapsed="false">
      <c r="A226" s="2" t="s">
        <v>42</v>
      </c>
      <c r="B226" s="8" t="n">
        <v>45478</v>
      </c>
      <c r="C226" s="2" t="s">
        <v>133</v>
      </c>
      <c r="D226" s="2" t="str">
        <f aca="false">IF(C226="Yes","Present","Absent")</f>
        <v>Absent</v>
      </c>
    </row>
    <row r="227" customFormat="false" ht="15" hidden="false" customHeight="false" outlineLevel="0" collapsed="false">
      <c r="A227" s="2" t="s">
        <v>43</v>
      </c>
      <c r="B227" s="8" t="n">
        <v>45478</v>
      </c>
      <c r="C227" s="2" t="s">
        <v>132</v>
      </c>
      <c r="D227" s="2" t="str">
        <f aca="false">IF(C227="Yes","Present","Absent")</f>
        <v>Present</v>
      </c>
    </row>
    <row r="228" customFormat="false" ht="15" hidden="false" customHeight="false" outlineLevel="0" collapsed="false">
      <c r="A228" s="2" t="s">
        <v>44</v>
      </c>
      <c r="B228" s="8" t="n">
        <v>45478</v>
      </c>
      <c r="C228" s="2" t="s">
        <v>132</v>
      </c>
      <c r="D228" s="2" t="str">
        <f aca="false">IF(C228="Yes","Present","Absent")</f>
        <v>Present</v>
      </c>
    </row>
    <row r="229" customFormat="false" ht="15" hidden="false" customHeight="false" outlineLevel="0" collapsed="false">
      <c r="A229" s="2" t="s">
        <v>45</v>
      </c>
      <c r="B229" s="8" t="n">
        <v>45478</v>
      </c>
      <c r="C229" s="2" t="s">
        <v>133</v>
      </c>
      <c r="D229" s="2" t="str">
        <f aca="false">IF(C229="Yes","Present","Absent")</f>
        <v>Absent</v>
      </c>
    </row>
    <row r="230" customFormat="false" ht="15" hidden="false" customHeight="false" outlineLevel="0" collapsed="false">
      <c r="A230" s="2" t="s">
        <v>46</v>
      </c>
      <c r="B230" s="8" t="n">
        <v>45478</v>
      </c>
      <c r="C230" s="2" t="s">
        <v>132</v>
      </c>
      <c r="D230" s="2" t="str">
        <f aca="false">IF(C230="Yes","Present","Absent")</f>
        <v>Present</v>
      </c>
    </row>
    <row r="231" customFormat="false" ht="15" hidden="false" customHeight="false" outlineLevel="0" collapsed="false">
      <c r="A231" s="2" t="s">
        <v>47</v>
      </c>
      <c r="B231" s="8" t="n">
        <v>45478</v>
      </c>
      <c r="C231" s="2" t="s">
        <v>132</v>
      </c>
      <c r="D231" s="2" t="str">
        <f aca="false">IF(C231="Yes","Present","Absent")</f>
        <v>Present</v>
      </c>
    </row>
    <row r="232" customFormat="false" ht="15" hidden="false" customHeight="false" outlineLevel="0" collapsed="false">
      <c r="A232" s="2" t="s">
        <v>48</v>
      </c>
      <c r="B232" s="8" t="n">
        <v>45478</v>
      </c>
      <c r="C232" s="2" t="s">
        <v>133</v>
      </c>
      <c r="D232" s="2" t="str">
        <f aca="false">IF(C232="Yes","Present","Absent")</f>
        <v>Absent</v>
      </c>
    </row>
    <row r="233" customFormat="false" ht="15" hidden="false" customHeight="false" outlineLevel="0" collapsed="false">
      <c r="A233" s="2" t="s">
        <v>49</v>
      </c>
      <c r="B233" s="8" t="n">
        <v>45478</v>
      </c>
      <c r="C233" s="2" t="s">
        <v>132</v>
      </c>
      <c r="D233" s="2" t="str">
        <f aca="false">IF(C233="Yes","Present","Absent")</f>
        <v>Present</v>
      </c>
    </row>
    <row r="234" customFormat="false" ht="15" hidden="false" customHeight="false" outlineLevel="0" collapsed="false">
      <c r="A234" s="2" t="s">
        <v>50</v>
      </c>
      <c r="B234" s="8" t="n">
        <v>45478</v>
      </c>
      <c r="C234" s="2" t="s">
        <v>132</v>
      </c>
      <c r="D234" s="2" t="str">
        <f aca="false">IF(C234="Yes","Present","Absent")</f>
        <v>Present</v>
      </c>
    </row>
    <row r="235" customFormat="false" ht="15" hidden="false" customHeight="false" outlineLevel="0" collapsed="false">
      <c r="A235" s="2" t="s">
        <v>51</v>
      </c>
      <c r="B235" s="8" t="n">
        <v>45478</v>
      </c>
      <c r="C235" s="2" t="s">
        <v>133</v>
      </c>
      <c r="D235" s="2" t="str">
        <f aca="false">IF(C235="Yes","Present","Absent")</f>
        <v>Absent</v>
      </c>
    </row>
    <row r="236" customFormat="false" ht="15" hidden="false" customHeight="false" outlineLevel="0" collapsed="false">
      <c r="A236" s="2" t="s">
        <v>52</v>
      </c>
      <c r="B236" s="8" t="n">
        <v>45478</v>
      </c>
      <c r="C236" s="2" t="s">
        <v>132</v>
      </c>
      <c r="D236" s="2" t="str">
        <f aca="false">IF(C236="Yes","Present","Absent")</f>
        <v>Present</v>
      </c>
    </row>
    <row r="237" customFormat="false" ht="15" hidden="false" customHeight="false" outlineLevel="0" collapsed="false">
      <c r="A237" s="2" t="s">
        <v>53</v>
      </c>
      <c r="B237" s="8" t="n">
        <v>45478</v>
      </c>
      <c r="C237" s="2" t="s">
        <v>133</v>
      </c>
      <c r="D237" s="2" t="str">
        <f aca="false">IF(C237="Yes","Present","Absent")</f>
        <v>Absent</v>
      </c>
    </row>
    <row r="238" customFormat="false" ht="15" hidden="false" customHeight="false" outlineLevel="0" collapsed="false">
      <c r="A238" s="2" t="s">
        <v>54</v>
      </c>
      <c r="B238" s="8" t="n">
        <v>45478</v>
      </c>
      <c r="C238" s="2" t="s">
        <v>132</v>
      </c>
      <c r="D238" s="2" t="str">
        <f aca="false">IF(C238="Yes","Present","Absent")</f>
        <v>Present</v>
      </c>
    </row>
    <row r="239" customFormat="false" ht="15" hidden="false" customHeight="false" outlineLevel="0" collapsed="false">
      <c r="A239" s="2" t="s">
        <v>55</v>
      </c>
      <c r="B239" s="8" t="n">
        <v>45478</v>
      </c>
      <c r="C239" s="2" t="s">
        <v>132</v>
      </c>
      <c r="D239" s="2" t="str">
        <f aca="false">IF(C239="Yes","Present","Absent")</f>
        <v>Present</v>
      </c>
    </row>
    <row r="240" customFormat="false" ht="15" hidden="false" customHeight="false" outlineLevel="0" collapsed="false">
      <c r="A240" s="2" t="s">
        <v>56</v>
      </c>
      <c r="B240" s="8" t="n">
        <v>45478</v>
      </c>
      <c r="C240" s="2" t="s">
        <v>132</v>
      </c>
      <c r="D240" s="2" t="str">
        <f aca="false">IF(C240="Yes","Present","Absent")</f>
        <v>Present</v>
      </c>
    </row>
    <row r="241" customFormat="false" ht="15" hidden="false" customHeight="false" outlineLevel="0" collapsed="false">
      <c r="A241" s="2" t="s">
        <v>57</v>
      </c>
      <c r="B241" s="8" t="n">
        <v>45478</v>
      </c>
      <c r="C241" s="2" t="s">
        <v>133</v>
      </c>
      <c r="D241" s="2" t="str">
        <f aca="false">IF(C241="Yes","Present","Absent")</f>
        <v>Absent</v>
      </c>
    </row>
    <row r="242" customFormat="false" ht="15" hidden="false" customHeight="false" outlineLevel="0" collapsed="false">
      <c r="A242" s="2" t="s">
        <v>58</v>
      </c>
      <c r="B242" s="8" t="n">
        <v>45478</v>
      </c>
      <c r="C242" s="2" t="s">
        <v>132</v>
      </c>
      <c r="D242" s="2" t="str">
        <f aca="false">IF(C242="Yes","Present","Absent")</f>
        <v>Present</v>
      </c>
    </row>
    <row r="243" customFormat="false" ht="15" hidden="false" customHeight="false" outlineLevel="0" collapsed="false">
      <c r="A243" s="2" t="s">
        <v>59</v>
      </c>
      <c r="B243" s="8" t="n">
        <v>45478</v>
      </c>
      <c r="C243" s="2" t="s">
        <v>133</v>
      </c>
      <c r="D243" s="2" t="str">
        <f aca="false">IF(C243="Yes","Present","Absent")</f>
        <v>Absent</v>
      </c>
    </row>
    <row r="244" customFormat="false" ht="15" hidden="false" customHeight="false" outlineLevel="0" collapsed="false">
      <c r="A244" s="2" t="s">
        <v>60</v>
      </c>
      <c r="B244" s="8" t="n">
        <v>45478</v>
      </c>
      <c r="C244" s="2" t="s">
        <v>133</v>
      </c>
      <c r="D244" s="2" t="str">
        <f aca="false">IF(C244="Yes","Present","Absent")</f>
        <v>Absent</v>
      </c>
    </row>
    <row r="245" customFormat="false" ht="15" hidden="false" customHeight="false" outlineLevel="0" collapsed="false">
      <c r="A245" s="2" t="s">
        <v>61</v>
      </c>
      <c r="B245" s="8" t="n">
        <v>45478</v>
      </c>
      <c r="C245" s="2" t="s">
        <v>133</v>
      </c>
      <c r="D245" s="2" t="str">
        <f aca="false">IF(C245="Yes","Present","Absent")</f>
        <v>Absent</v>
      </c>
    </row>
    <row r="246" customFormat="false" ht="15" hidden="false" customHeight="false" outlineLevel="0" collapsed="false">
      <c r="A246" s="2" t="s">
        <v>62</v>
      </c>
      <c r="B246" s="8" t="n">
        <v>45478</v>
      </c>
      <c r="C246" s="2" t="s">
        <v>132</v>
      </c>
      <c r="D246" s="2" t="str">
        <f aca="false">IF(C246="Yes","Present","Absent")</f>
        <v>Present</v>
      </c>
    </row>
    <row r="247" customFormat="false" ht="15" hidden="false" customHeight="false" outlineLevel="0" collapsed="false">
      <c r="A247" s="2" t="s">
        <v>63</v>
      </c>
      <c r="B247" s="8" t="n">
        <v>45478</v>
      </c>
      <c r="C247" s="2" t="s">
        <v>133</v>
      </c>
      <c r="D247" s="2" t="str">
        <f aca="false">IF(C247="Yes","Present","Absent")</f>
        <v>Absent</v>
      </c>
    </row>
    <row r="248" customFormat="false" ht="15" hidden="false" customHeight="false" outlineLevel="0" collapsed="false">
      <c r="A248" s="2" t="s">
        <v>64</v>
      </c>
      <c r="B248" s="8" t="n">
        <v>45478</v>
      </c>
      <c r="C248" s="2" t="s">
        <v>132</v>
      </c>
      <c r="D248" s="2" t="str">
        <f aca="false">IF(C248="Yes","Present","Absent")</f>
        <v>Present</v>
      </c>
    </row>
    <row r="249" customFormat="false" ht="15" hidden="false" customHeight="false" outlineLevel="0" collapsed="false">
      <c r="A249" s="2" t="s">
        <v>65</v>
      </c>
      <c r="B249" s="8" t="n">
        <v>45478</v>
      </c>
      <c r="C249" s="2" t="s">
        <v>133</v>
      </c>
      <c r="D249" s="2" t="str">
        <f aca="false">IF(C249="Yes","Present","Absent")</f>
        <v>Absent</v>
      </c>
    </row>
    <row r="250" customFormat="false" ht="15" hidden="false" customHeight="false" outlineLevel="0" collapsed="false">
      <c r="A250" s="2" t="s">
        <v>66</v>
      </c>
      <c r="B250" s="8" t="n">
        <v>45478</v>
      </c>
      <c r="C250" s="2" t="s">
        <v>132</v>
      </c>
      <c r="D250" s="2" t="str">
        <f aca="false">IF(C250="Yes","Present","Absent")</f>
        <v>Present</v>
      </c>
    </row>
    <row r="251" customFormat="false" ht="15" hidden="false" customHeight="false" outlineLevel="0" collapsed="false">
      <c r="A251" s="2" t="s">
        <v>67</v>
      </c>
      <c r="B251" s="8" t="n">
        <v>45478</v>
      </c>
      <c r="C251" s="2" t="s">
        <v>133</v>
      </c>
      <c r="D251" s="2" t="str">
        <f aca="false">IF(C251="Yes","Present","Absent")</f>
        <v>Absent</v>
      </c>
    </row>
  </sheetData>
  <conditionalFormatting sqref="D2:D251">
    <cfRule type="cellIs" priority="2" operator="equal" aboveAverage="0" equalAverage="0" bottom="0" percent="0" rank="0" text="" dxfId="20">
      <formula>"Present"</formula>
    </cfRule>
    <cfRule type="cellIs" priority="3" operator="equal" aboveAverage="0" equalAverage="0" bottom="0" percent="0" rank="0" text="" dxfId="21">
      <formula>"Absent"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2026-08-27T20:32:24Z</dcterms:created>
  <dc:creator>openpyxl</dc:creator>
  <dc:description/>
  <dc:language>en-US</dc:language>
  <cp:lastModifiedBy/>
  <dcterms:modified xsi:type="dcterms:W3CDTF">2026-08-27T20:32:27Z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